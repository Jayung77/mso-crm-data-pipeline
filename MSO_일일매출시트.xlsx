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bc1\Desktop\"/>
    </mc:Choice>
  </mc:AlternateContent>
  <xr:revisionPtr revIDLastSave="0" documentId="8_{47C2E682-45A3-46D0-8AF5-2277E1A1AC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프로젝트개요" sheetId="1" r:id="rId1"/>
    <sheet name="일일매출지표" sheetId="2" r:id="rId2"/>
    <sheet name="신환구환_심화분석" sheetId="3" r:id="rId3"/>
    <sheet name="ERD_및_SQL쿼리" sheetId="4" r:id="rId4"/>
    <sheet name="Data_QA_Validation규칙" sheetId="5" r:id="rId5"/>
    <sheet name="GitHub_README_포트폴리오" sheetId="6" r:id="rId6"/>
    <sheet name="crm_transaction_log" sheetId="7" r:id="rId7"/>
    <sheet name="customer_master" sheetId="8" r:id="rId8"/>
    <sheet name="RAW_DATA" sheetId="9" r:id="rId9"/>
  </sheets>
  <definedNames>
    <definedName name="_xlnm._FilterDatabase" localSheetId="6" hidden="1">crm_transaction_log!$A$1:$N$48</definedName>
    <definedName name="_xlnm._FilterDatabase" localSheetId="8" hidden="1">RAW_DATA!$A$1:$N$48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8" i="9" l="1"/>
  <c r="L48" i="9"/>
  <c r="K48" i="9"/>
  <c r="M47" i="9"/>
  <c r="L47" i="9"/>
  <c r="K47" i="9"/>
  <c r="M46" i="9"/>
  <c r="L46" i="9"/>
  <c r="K46" i="9"/>
  <c r="M45" i="9"/>
  <c r="L45" i="9"/>
  <c r="K45" i="9"/>
  <c r="M44" i="9"/>
  <c r="L44" i="9"/>
  <c r="K44" i="9"/>
  <c r="M43" i="9"/>
  <c r="L43" i="9"/>
  <c r="K43" i="9"/>
  <c r="M42" i="9"/>
  <c r="L42" i="9"/>
  <c r="K42" i="9"/>
  <c r="M41" i="9"/>
  <c r="L41" i="9"/>
  <c r="K41" i="9"/>
  <c r="M40" i="9"/>
  <c r="L40" i="9"/>
  <c r="K40" i="9"/>
  <c r="M39" i="9"/>
  <c r="L39" i="9"/>
  <c r="K39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K34" i="9"/>
  <c r="M33" i="9"/>
  <c r="L33" i="9"/>
  <c r="K33" i="9"/>
  <c r="M32" i="9"/>
  <c r="L32" i="9"/>
  <c r="K32" i="9"/>
  <c r="M31" i="9"/>
  <c r="L31" i="9"/>
  <c r="K31" i="9"/>
  <c r="M30" i="9"/>
  <c r="L30" i="9"/>
  <c r="K30" i="9"/>
  <c r="M29" i="9"/>
  <c r="L29" i="9"/>
  <c r="K29" i="9"/>
  <c r="M28" i="9"/>
  <c r="L28" i="9"/>
  <c r="K28" i="9"/>
  <c r="M27" i="9"/>
  <c r="L27" i="9"/>
  <c r="K27" i="9"/>
  <c r="M26" i="9"/>
  <c r="L26" i="9"/>
  <c r="K26" i="9"/>
  <c r="M25" i="9"/>
  <c r="L25" i="9"/>
  <c r="K25" i="9"/>
  <c r="M24" i="9"/>
  <c r="L24" i="9"/>
  <c r="K24" i="9"/>
  <c r="M23" i="9"/>
  <c r="L23" i="9"/>
  <c r="K23" i="9"/>
  <c r="M22" i="9"/>
  <c r="L22" i="9"/>
  <c r="K22" i="9"/>
  <c r="M21" i="9"/>
  <c r="L21" i="9"/>
  <c r="K21" i="9"/>
  <c r="M20" i="9"/>
  <c r="L20" i="9"/>
  <c r="K20" i="9"/>
  <c r="M19" i="9"/>
  <c r="L19" i="9"/>
  <c r="K19" i="9"/>
  <c r="M18" i="9"/>
  <c r="L18" i="9"/>
  <c r="K18" i="9"/>
  <c r="M17" i="9"/>
  <c r="L17" i="9"/>
  <c r="K17" i="9"/>
  <c r="M16" i="9"/>
  <c r="L16" i="9"/>
  <c r="K16" i="9"/>
  <c r="M15" i="9"/>
  <c r="L15" i="9"/>
  <c r="K15" i="9"/>
  <c r="M14" i="9"/>
  <c r="L14" i="9"/>
  <c r="K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8" i="9"/>
  <c r="L8" i="9"/>
  <c r="K8" i="9"/>
  <c r="M7" i="9"/>
  <c r="L7" i="9"/>
  <c r="K7" i="9"/>
  <c r="M6" i="9"/>
  <c r="L6" i="9"/>
  <c r="K6" i="9"/>
  <c r="M5" i="9"/>
  <c r="L5" i="9"/>
  <c r="K5" i="9"/>
  <c r="M4" i="9"/>
  <c r="L4" i="9"/>
  <c r="K4" i="9"/>
  <c r="M3" i="9"/>
  <c r="L3" i="9"/>
  <c r="K3" i="9"/>
  <c r="M2" i="9"/>
  <c r="L2" i="9"/>
  <c r="K2" i="9"/>
  <c r="M48" i="7"/>
  <c r="L48" i="7"/>
  <c r="K48" i="7"/>
  <c r="M47" i="7"/>
  <c r="L47" i="7"/>
  <c r="K47" i="7"/>
  <c r="M46" i="7"/>
  <c r="L46" i="7"/>
  <c r="K46" i="7"/>
  <c r="M45" i="7"/>
  <c r="L45" i="7"/>
  <c r="K45" i="7"/>
  <c r="M44" i="7"/>
  <c r="L44" i="7"/>
  <c r="K44" i="7"/>
  <c r="M43" i="7"/>
  <c r="L43" i="7"/>
  <c r="K43" i="7"/>
  <c r="M42" i="7"/>
  <c r="L42" i="7"/>
  <c r="K42" i="7"/>
  <c r="M41" i="7"/>
  <c r="L41" i="7"/>
  <c r="K41" i="7"/>
  <c r="M40" i="7"/>
  <c r="L40" i="7"/>
  <c r="K40" i="7"/>
  <c r="M39" i="7"/>
  <c r="L39" i="7"/>
  <c r="K39" i="7"/>
  <c r="M38" i="7"/>
  <c r="L38" i="7"/>
  <c r="K38" i="7"/>
  <c r="M37" i="7"/>
  <c r="L37" i="7"/>
  <c r="K37" i="7"/>
  <c r="M36" i="7"/>
  <c r="L36" i="7"/>
  <c r="K36" i="7"/>
  <c r="M35" i="7"/>
  <c r="L35" i="7"/>
  <c r="K35" i="7"/>
  <c r="M34" i="7"/>
  <c r="L34" i="7"/>
  <c r="K34" i="7"/>
  <c r="M33" i="7"/>
  <c r="L33" i="7"/>
  <c r="K33" i="7"/>
  <c r="M32" i="7"/>
  <c r="L32" i="7"/>
  <c r="K32" i="7"/>
  <c r="M31" i="7"/>
  <c r="L31" i="7"/>
  <c r="K31" i="7"/>
  <c r="M30" i="7"/>
  <c r="L30" i="7"/>
  <c r="K30" i="7"/>
  <c r="M29" i="7"/>
  <c r="L29" i="7"/>
  <c r="K29" i="7"/>
  <c r="M28" i="7"/>
  <c r="L28" i="7"/>
  <c r="K28" i="7"/>
  <c r="M27" i="7"/>
  <c r="L27" i="7"/>
  <c r="K27" i="7"/>
  <c r="M26" i="7"/>
  <c r="L26" i="7"/>
  <c r="K26" i="7"/>
  <c r="M25" i="7"/>
  <c r="L25" i="7"/>
  <c r="K25" i="7"/>
  <c r="M24" i="7"/>
  <c r="L24" i="7"/>
  <c r="K24" i="7"/>
  <c r="M23" i="7"/>
  <c r="L23" i="7"/>
  <c r="K23" i="7"/>
  <c r="M22" i="7"/>
  <c r="L22" i="7"/>
  <c r="K22" i="7"/>
  <c r="M21" i="7"/>
  <c r="L21" i="7"/>
  <c r="K21" i="7"/>
  <c r="M20" i="7"/>
  <c r="L20" i="7"/>
  <c r="K20" i="7"/>
  <c r="M19" i="7"/>
  <c r="L19" i="7"/>
  <c r="K19" i="7"/>
  <c r="M18" i="7"/>
  <c r="L18" i="7"/>
  <c r="K18" i="7"/>
  <c r="M17" i="7"/>
  <c r="L17" i="7"/>
  <c r="K17" i="7"/>
  <c r="M16" i="7"/>
  <c r="L16" i="7"/>
  <c r="K16" i="7"/>
  <c r="M15" i="7"/>
  <c r="L15" i="7"/>
  <c r="K15" i="7"/>
  <c r="M14" i="7"/>
  <c r="L14" i="7"/>
  <c r="K14" i="7"/>
  <c r="M13" i="7"/>
  <c r="L13" i="7"/>
  <c r="K13" i="7"/>
  <c r="M12" i="7"/>
  <c r="L12" i="7"/>
  <c r="K12" i="7"/>
  <c r="M11" i="7"/>
  <c r="L11" i="7"/>
  <c r="K11" i="7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K5" i="7"/>
  <c r="M4" i="7"/>
  <c r="L4" i="7"/>
  <c r="K4" i="7"/>
  <c r="M3" i="7"/>
  <c r="L3" i="7"/>
  <c r="K3" i="7"/>
  <c r="M2" i="7"/>
  <c r="L2" i="7"/>
  <c r="K2" i="7"/>
  <c r="D38" i="3"/>
  <c r="G38" i="3" s="1"/>
  <c r="C38" i="3"/>
  <c r="F38" i="3" s="1"/>
  <c r="B38" i="3"/>
  <c r="G37" i="3"/>
  <c r="D37" i="3"/>
  <c r="C37" i="3"/>
  <c r="F37" i="3" s="1"/>
  <c r="B37" i="3"/>
  <c r="D36" i="3"/>
  <c r="G36" i="3" s="1"/>
  <c r="C36" i="3"/>
  <c r="F36" i="3" s="1"/>
  <c r="B36" i="3"/>
  <c r="G35" i="3"/>
  <c r="D35" i="3"/>
  <c r="C35" i="3"/>
  <c r="F35" i="3" s="1"/>
  <c r="B35" i="3"/>
  <c r="D34" i="3"/>
  <c r="G34" i="3" s="1"/>
  <c r="C34" i="3"/>
  <c r="F34" i="3" s="1"/>
  <c r="B34" i="3"/>
  <c r="G33" i="3"/>
  <c r="D33" i="3"/>
  <c r="D39" i="3" s="1"/>
  <c r="C33" i="3"/>
  <c r="C39" i="3" s="1"/>
  <c r="F39" i="3" s="1"/>
  <c r="B33" i="3"/>
  <c r="B39" i="3" s="1"/>
  <c r="G27" i="3"/>
  <c r="F27" i="3"/>
  <c r="H27" i="3" s="1"/>
  <c r="E27" i="3"/>
  <c r="D27" i="3"/>
  <c r="C27" i="3"/>
  <c r="B27" i="3"/>
  <c r="H26" i="3"/>
  <c r="G26" i="3"/>
  <c r="F26" i="3"/>
  <c r="E26" i="3"/>
  <c r="D26" i="3"/>
  <c r="C26" i="3"/>
  <c r="B26" i="3"/>
  <c r="G25" i="3"/>
  <c r="F25" i="3"/>
  <c r="H25" i="3" s="1"/>
  <c r="E25" i="3"/>
  <c r="D25" i="3"/>
  <c r="C25" i="3"/>
  <c r="B25" i="3"/>
  <c r="G24" i="3"/>
  <c r="F24" i="3"/>
  <c r="H24" i="3" s="1"/>
  <c r="E24" i="3"/>
  <c r="D24" i="3"/>
  <c r="C24" i="3"/>
  <c r="B24" i="3"/>
  <c r="H23" i="3"/>
  <c r="G23" i="3"/>
  <c r="F23" i="3"/>
  <c r="E23" i="3"/>
  <c r="D23" i="3"/>
  <c r="C23" i="3"/>
  <c r="B23" i="3"/>
  <c r="H22" i="3"/>
  <c r="G22" i="3"/>
  <c r="F22" i="3"/>
  <c r="E22" i="3"/>
  <c r="D22" i="3"/>
  <c r="C22" i="3"/>
  <c r="B22" i="3"/>
  <c r="G21" i="3"/>
  <c r="F21" i="3"/>
  <c r="H21" i="3" s="1"/>
  <c r="E21" i="3"/>
  <c r="D21" i="3"/>
  <c r="C21" i="3"/>
  <c r="B21" i="3"/>
  <c r="G20" i="3"/>
  <c r="G29" i="3" s="1"/>
  <c r="F20" i="3"/>
  <c r="H20" i="3" s="1"/>
  <c r="E20" i="3"/>
  <c r="D20" i="3"/>
  <c r="C20" i="3"/>
  <c r="B20" i="3"/>
  <c r="J15" i="3"/>
  <c r="I15" i="3"/>
  <c r="K15" i="3" s="1"/>
  <c r="H15" i="3"/>
  <c r="F15" i="3"/>
  <c r="G15" i="3" s="1"/>
  <c r="E15" i="3"/>
  <c r="D15" i="3"/>
  <c r="C15" i="3"/>
  <c r="B15" i="3"/>
  <c r="K14" i="3"/>
  <c r="J14" i="3"/>
  <c r="I14" i="3"/>
  <c r="H14" i="3"/>
  <c r="G14" i="3"/>
  <c r="F14" i="3"/>
  <c r="D14" i="3"/>
  <c r="C14" i="3"/>
  <c r="E14" i="3" s="1"/>
  <c r="B14" i="3"/>
  <c r="J13" i="3"/>
  <c r="I13" i="3"/>
  <c r="K13" i="3" s="1"/>
  <c r="H13" i="3"/>
  <c r="F13" i="3"/>
  <c r="G13" i="3" s="1"/>
  <c r="E13" i="3"/>
  <c r="D13" i="3"/>
  <c r="C13" i="3"/>
  <c r="B13" i="3"/>
  <c r="J12" i="3"/>
  <c r="J16" i="3" s="1"/>
  <c r="G28" i="3" s="1"/>
  <c r="I12" i="3"/>
  <c r="K12" i="3" s="1"/>
  <c r="H12" i="3"/>
  <c r="G12" i="3"/>
  <c r="F12" i="3"/>
  <c r="D12" i="3"/>
  <c r="C12" i="3"/>
  <c r="E12" i="3" s="1"/>
  <c r="B12" i="3"/>
  <c r="J11" i="3"/>
  <c r="I11" i="3"/>
  <c r="K11" i="3" s="1"/>
  <c r="H11" i="3"/>
  <c r="F11" i="3"/>
  <c r="G11" i="3" s="1"/>
  <c r="D11" i="3"/>
  <c r="C11" i="3"/>
  <c r="E11" i="3" s="1"/>
  <c r="B11" i="3"/>
  <c r="B16" i="3" s="1"/>
  <c r="B28" i="3" s="1"/>
  <c r="B29" i="3" s="1"/>
  <c r="J10" i="3"/>
  <c r="I10" i="3"/>
  <c r="I16" i="3" s="1"/>
  <c r="H10" i="3"/>
  <c r="K10" i="3" s="1"/>
  <c r="G10" i="3"/>
  <c r="F10" i="3"/>
  <c r="F16" i="3" s="1"/>
  <c r="D10" i="3"/>
  <c r="D16" i="3" s="1"/>
  <c r="D28" i="3" s="1"/>
  <c r="C10" i="3"/>
  <c r="E10" i="3" s="1"/>
  <c r="B10" i="3"/>
  <c r="I5" i="3"/>
  <c r="E5" i="3"/>
  <c r="G5" i="3" s="1"/>
  <c r="C5" i="3"/>
  <c r="I4" i="3"/>
  <c r="E4" i="3"/>
  <c r="G4" i="3" s="1"/>
  <c r="C4" i="3"/>
  <c r="J42" i="2"/>
  <c r="I42" i="2"/>
  <c r="J41" i="2"/>
  <c r="I41" i="2"/>
  <c r="C41" i="2"/>
  <c r="J40" i="2"/>
  <c r="I40" i="2"/>
  <c r="F40" i="2"/>
  <c r="C40" i="2"/>
  <c r="J39" i="2"/>
  <c r="I39" i="2"/>
  <c r="F39" i="2"/>
  <c r="C39" i="2"/>
  <c r="J38" i="2"/>
  <c r="I38" i="2"/>
  <c r="F38" i="2"/>
  <c r="C38" i="2"/>
  <c r="J37" i="2"/>
  <c r="I37" i="2"/>
  <c r="C37" i="2"/>
  <c r="C17" i="2"/>
  <c r="G16" i="2"/>
  <c r="F16" i="2"/>
  <c r="E16" i="2"/>
  <c r="D16" i="2"/>
  <c r="C16" i="2"/>
  <c r="G15" i="2"/>
  <c r="F15" i="2"/>
  <c r="E15" i="2"/>
  <c r="D15" i="2"/>
  <c r="C15" i="2"/>
  <c r="L14" i="2"/>
  <c r="K14" i="2"/>
  <c r="J14" i="2"/>
  <c r="G14" i="2"/>
  <c r="F14" i="2"/>
  <c r="E14" i="2"/>
  <c r="D14" i="2"/>
  <c r="C14" i="2"/>
  <c r="L13" i="2"/>
  <c r="K13" i="2"/>
  <c r="J13" i="2"/>
  <c r="G13" i="2"/>
  <c r="F13" i="2"/>
  <c r="E13" i="2"/>
  <c r="D13" i="2"/>
  <c r="C13" i="2"/>
  <c r="L12" i="2"/>
  <c r="K12" i="2"/>
  <c r="J12" i="2"/>
  <c r="G12" i="2"/>
  <c r="F12" i="2"/>
  <c r="F17" i="2" s="1"/>
  <c r="F18" i="2" s="1"/>
  <c r="E12" i="2"/>
  <c r="E17" i="2" s="1"/>
  <c r="D12" i="2"/>
  <c r="C12" i="2"/>
  <c r="L11" i="2"/>
  <c r="L15" i="2" s="1"/>
  <c r="K11" i="2"/>
  <c r="K15" i="2" s="1"/>
  <c r="J11" i="2"/>
  <c r="J15" i="2" s="1"/>
  <c r="G11" i="2"/>
  <c r="G17" i="2" s="1"/>
  <c r="F11" i="2"/>
  <c r="E11" i="2"/>
  <c r="D11" i="2"/>
  <c r="D17" i="2" s="1"/>
  <c r="C11" i="2"/>
  <c r="I5" i="2"/>
  <c r="G5" i="2"/>
  <c r="D5" i="2"/>
  <c r="B5" i="2"/>
  <c r="D29" i="3" l="1"/>
  <c r="G16" i="3"/>
  <c r="C18" i="2"/>
  <c r="G39" i="3"/>
  <c r="F28" i="3"/>
  <c r="C16" i="3"/>
  <c r="E33" i="3"/>
  <c r="E35" i="3"/>
  <c r="H35" i="3" s="1"/>
  <c r="I35" i="3" s="1"/>
  <c r="E37" i="3"/>
  <c r="H37" i="3" s="1"/>
  <c r="I37" i="3" s="1"/>
  <c r="F33" i="3"/>
  <c r="H16" i="3"/>
  <c r="E28" i="3" s="1"/>
  <c r="E29" i="3" s="1"/>
  <c r="E34" i="3"/>
  <c r="H34" i="3" s="1"/>
  <c r="I34" i="3" s="1"/>
  <c r="E36" i="3"/>
  <c r="H36" i="3" s="1"/>
  <c r="I36" i="3" s="1"/>
  <c r="E38" i="3"/>
  <c r="H38" i="3" s="1"/>
  <c r="I38" i="3" s="1"/>
  <c r="H28" i="3" l="1"/>
  <c r="H33" i="3"/>
  <c r="I33" i="3" s="1"/>
  <c r="E39" i="3"/>
  <c r="H39" i="3" s="1"/>
  <c r="I39" i="3" s="1"/>
  <c r="F29" i="3"/>
  <c r="H29" i="3" s="1"/>
  <c r="C28" i="3"/>
  <c r="C29" i="3" s="1"/>
  <c r="E16" i="3"/>
  <c r="K16" i="3"/>
</calcChain>
</file>

<file path=xl/sharedStrings.xml><?xml version="1.0" encoding="utf-8"?>
<sst xmlns="http://schemas.openxmlformats.org/spreadsheetml/2006/main" count="1127" uniqueCount="444">
  <si>
    <t>🏥 [프로젝트 개요] 의료 MSO 비즈니스 데이터 파이프라인 및 CRM Data QA</t>
  </si>
  <si>
    <r>
      <rPr>
        <b/>
        <sz val="11"/>
        <color theme="1"/>
        <rFont val="Malgun Gothic"/>
        <family val="3"/>
        <charset val="129"/>
      </rPr>
      <t>목적:</t>
    </r>
    <r>
      <rPr>
        <sz val="11"/>
        <color theme="1"/>
        <rFont val="맑은 고딕"/>
        <family val="3"/>
        <charset val="129"/>
      </rPr>
      <t xml:space="preserve"> 예약 및 결제 트랜잭션의 정합성 검증(Data QA)을 통해 이상치를 제거하고, 신뢰도 높은 일일 경영 KPI 대시보드 구축</t>
    </r>
  </si>
  <si>
    <r>
      <rPr>
        <b/>
        <sz val="11"/>
        <color theme="1"/>
        <rFont val="Malgun Gothic"/>
        <family val="3"/>
        <charset val="129"/>
      </rPr>
      <t>기술 스택:</t>
    </r>
    <r>
      <rPr>
        <sz val="11"/>
        <color theme="1"/>
        <rFont val="맑은 고딕"/>
        <family val="3"/>
        <charset val="129"/>
      </rPr>
      <t xml:space="preserve"> SQL (HeidiSQL, MySQL) | Excel (다중 논리함수, VLOOKUP) | Google Sheets</t>
    </r>
  </si>
  <si>
    <t>📊 [일일매출지표 대시보드 바로가기]</t>
  </si>
  <si>
    <t>🏥 신환(신규) vs 구환(재방문) 심화 분석 대시보드</t>
  </si>
  <si>
    <t>의료 MSO 마케팅 채널 효율성 및 환자 유형별 진료 매출·이탈율 심층 분석</t>
  </si>
  <si>
    <t>주요 지표</t>
  </si>
  <si>
    <t>🗄️ [전산 / DB 엔지니어링] 의료 MSO 관계형 데이터 모델(ERD) 및 Data Pipeline SQL</t>
  </si>
  <si>
    <t>총 예약 건수</t>
  </si>
  <si>
    <t>깃허브 저장소(SQL 쿼리 및 소스코드 원본)</t>
  </si>
  <si>
    <t>HeidiSQL / MySQL 기반 정규화 테이블 스키마 설계 및 데이터 이상치 탐지·보정·KPI 산출 쿼리 세트</t>
  </si>
  <si>
    <t>📐 [섹션 1] 관계형 데이터 모델링 (Relational Schema &amp; ERD Architecture)</t>
  </si>
  <si>
    <t>테이블명</t>
  </si>
  <si>
    <r>
      <rPr>
        <b/>
        <sz val="11"/>
        <color theme="1"/>
        <rFont val="Segoe UI Emoji"/>
      </rPr>
      <t>🔍</t>
    </r>
    <r>
      <rPr>
        <b/>
        <sz val="11"/>
        <color theme="1"/>
        <rFont val="맑은 고딕"/>
        <family val="3"/>
        <charset val="129"/>
      </rPr>
      <t xml:space="preserve"> 핵심 데이터 정합성 검증 (Data QA 내역 - 총 9건 오류 정제)</t>
    </r>
  </si>
  <si>
    <r>
      <rPr>
        <b/>
        <sz val="11"/>
        <color theme="1"/>
        <rFont val="Malgun Gothic"/>
        <family val="3"/>
        <charset val="129"/>
      </rPr>
      <t>1. 기준정보 누락 검증 (VLOOKUP):</t>
    </r>
    <r>
      <rPr>
        <sz val="11"/>
        <color theme="1"/>
        <rFont val="맑은 고딕"/>
        <family val="3"/>
        <charset val="129"/>
      </rPr>
      <t xml:space="preserve"> 회원 마스터에 미등록된 이상 차트번호 3건 탐지 및 정제</t>
    </r>
  </si>
  <si>
    <t>필드명 (Column Name)</t>
  </si>
  <si>
    <r>
      <rPr>
        <b/>
        <sz val="11"/>
        <color theme="1"/>
        <rFont val="Malgun Gothic"/>
        <family val="3"/>
        <charset val="129"/>
      </rPr>
      <t>2. 비즈니스 로직 모순 검증 (IF/OR/AND):</t>
    </r>
    <r>
      <rPr>
        <sz val="11"/>
        <color theme="1"/>
        <rFont val="맑은 고딕"/>
        <family val="3"/>
        <charset val="129"/>
      </rPr>
      <t xml:space="preserve"> 예약 취소/노쇼 상태임에도 결제액·잔금이 잔존하는 데이터 5건 탐지 ➔ 0원 보정</t>
    </r>
  </si>
  <si>
    <t>데이터 타입 (Data Type)</t>
  </si>
  <si>
    <t>제약조건 (Constraints)</t>
  </si>
  <si>
    <t>외래키 관계 (Relationship)</t>
  </si>
  <si>
    <t>설명 (Description)</t>
  </si>
  <si>
    <t>비고</t>
  </si>
  <si>
    <r>
      <rPr>
        <b/>
        <sz val="11"/>
        <color theme="1"/>
        <rFont val="Malgun Gothic"/>
        <family val="3"/>
        <charset val="129"/>
      </rPr>
      <t>3. 수납 이상치 검증:</t>
    </r>
    <r>
      <rPr>
        <sz val="11"/>
        <color theme="1"/>
        <rFont val="맑은 고딕"/>
        <family val="3"/>
        <charset val="129"/>
      </rPr>
      <t xml:space="preserve"> 잔금이 음수(-20,000원)로 오입력된 수납 기입 오류 1건 탐지 ➔ 정상화 조치</t>
    </r>
  </si>
  <si>
    <t>customer_master</t>
  </si>
  <si>
    <t>Chart_No</t>
  </si>
  <si>
    <t>VARCHAR(20)</t>
  </si>
  <si>
    <t>PRIMARY KEY, NOT NULL</t>
  </si>
  <si>
    <t>-</t>
  </si>
  <si>
    <t>환자 고유 차트번호 (C250011 ~)</t>
  </si>
  <si>
    <t>기준정보 마스터</t>
  </si>
  <si>
    <t>Customer_ID</t>
  </si>
  <si>
    <t>UNIQUE, NOT NULL</t>
  </si>
  <si>
    <t>회원 로그인 식별자 (U1011 ~)</t>
  </si>
  <si>
    <t>고객 식별키</t>
  </si>
  <si>
    <t>Customer_Name</t>
  </si>
  <si>
    <t>VARCHAR(50)</t>
  </si>
  <si>
    <t>NOT NULL</t>
  </si>
  <si>
    <t>환자 성명 (마스킹: 김*수)</t>
  </si>
  <si>
    <t>개인정보 보호</t>
  </si>
  <si>
    <t>Phone_Number</t>
  </si>
  <si>
    <t>연락처 (마스킹)</t>
  </si>
  <si>
    <t>알림톡 발송용</t>
  </si>
  <si>
    <t>Customer_Grade</t>
  </si>
  <si>
    <t>ENUM('일반','우수','VIP')</t>
  </si>
  <si>
    <t>DEFAULT '일반'</t>
  </si>
  <si>
    <t>고객 CRM 등급</t>
  </si>
  <si>
    <t>세그먼트 기준</t>
  </si>
  <si>
    <t>Join_Date</t>
  </si>
  <si>
    <t>DATE</t>
  </si>
  <si>
    <t>최초 회원 가입일자</t>
  </si>
  <si>
    <t>신환/구환 기준일</t>
  </si>
  <si>
    <t>crm_transaction_log</t>
  </si>
  <si>
    <t>Reservation_Date</t>
  </si>
  <si>
    <t>예약 및 결제 일자</t>
  </si>
  <si>
    <t>신환 예약 건수</t>
  </si>
  <si>
    <t>일일 파티션 키</t>
  </si>
  <si>
    <t>Reservation_Time</t>
  </si>
  <si>
    <t>TIME</t>
  </si>
  <si>
    <t>예약 시간 (타임슬롯)</t>
  </si>
  <si>
    <t>시간대별 분석</t>
  </si>
  <si>
    <t>FOREIGN KEY, NOT NULL</t>
  </si>
  <si>
    <t>customer_master (1:N)</t>
  </si>
  <si>
    <t>환자 차트번호 (참조 무결성 보장)</t>
  </si>
  <si>
    <t>외래키(FK)</t>
  </si>
  <si>
    <t>Is_First_Visit</t>
  </si>
  <si>
    <t>CHAR(1)</t>
  </si>
  <si>
    <t>CHECK (IN ('Y', 'N'))</t>
  </si>
  <si>
    <t>초진(신환: Y) / 재진(구환: N) 여부</t>
  </si>
  <si>
    <t>마케팅 지표</t>
  </si>
  <si>
    <t>Inflow_Channel</t>
  </si>
  <si>
    <t>ENUM 정의 권장</t>
  </si>
  <si>
    <t>마케팅 유입 채널 (인스타, 카톡 등)</t>
  </si>
  <si>
    <t>CAC 및 전환율</t>
  </si>
  <si>
    <t>Consultant_ID</t>
  </si>
  <si>
    <t>FOREIGN KEY</t>
  </si>
  <si>
    <t>consultant_master (1:N)</t>
  </si>
  <si>
    <t>상담 담당자 ID (CS_01, CS_02 등)</t>
  </si>
  <si>
    <t>상담사별 성과</t>
  </si>
  <si>
    <t>Reservation_Status</t>
  </si>
  <si>
    <t>ENUM('진료완료','노쇼','예약취소')</t>
  </si>
  <si>
    <t>예약 이행 최종 상태</t>
  </si>
  <si>
    <t>이탈률 분석 핵심</t>
  </si>
  <si>
    <t>Treatment_Item</t>
  </si>
  <si>
    <t>VARCHAR(100)</t>
  </si>
  <si>
    <t>treatment_master (1:N)</t>
  </si>
  <si>
    <t>시술 명칭 (울쎄라, 써마지 등)</t>
  </si>
  <si>
    <t>시술별 매출액</t>
  </si>
  <si>
    <t>Payment_Amount</t>
  </si>
  <si>
    <t>INT</t>
  </si>
  <si>
    <t>CHECK (&gt;= 0), DEFAULT 0</t>
  </si>
  <si>
    <t>당일 실수납 금액 (원)</t>
  </si>
  <si>
    <t>매출 집계 필드</t>
  </si>
  <si>
    <t>Unpaid_Amount</t>
  </si>
  <si>
    <t>미수 잔금 (원)</t>
  </si>
  <si>
    <t>채권 리스크 관리</t>
  </si>
  <si>
    <t>💻 [섹션 2] Data QA 이상치 탐지 및 자동 정제 MySQL SQL 쿼리 세트</t>
  </si>
  <si>
    <t>신환 비율</t>
  </si>
  <si>
    <t>쿼리 번호</t>
  </si>
  <si>
    <t>분류 (Type)</t>
  </si>
  <si>
    <t>쿼리 목적 및 설명</t>
  </si>
  <si>
    <t>SQL 소스 코드 (MySQL / MariaDB / HeidiSQL)</t>
  </si>
  <si>
    <t>실행 결과 및 영향도</t>
  </si>
  <si>
    <t>SQL-QA-01</t>
  </si>
  <si>
    <t>이상치 탐지</t>
  </si>
  <si>
    <t>기준정보 누락 검증 (Master Unregistered): 회원 마스터에 미등록된 이상 차트번호 탐지 (총 3건)</t>
  </si>
  <si>
    <t>-- 1. 고객 마스터 미등록 이상 차트번호 탐지
SELECT 
    t.Reservation_Date,
    t.Chart_No,
    t.Treatment_Item,
    t.Payment_Amount
FROM crm_transaction_log t
LEFT JOIN customer_master c ON t.Chart_No = c.Chart_No
WHERE c.Chart_No IS NULL;</t>
  </si>
  <si>
    <t>마스터 미등록 이상치 3건 즉시 탐지 -&gt; 원무팀 확인 후 기준정보 동기화 완료</t>
  </si>
  <si>
    <t>참조 무결성 검증</t>
  </si>
  <si>
    <t>SQL-QA-02</t>
  </si>
  <si>
    <t>데이터 보정</t>
  </si>
  <si>
    <t>비즈니스 모순 보정 (Logic Error Fix): 노쇼/취소 상태임에도 잔존하는 결제액·잔금 0원 보정 (총 5건)</t>
  </si>
  <si>
    <t>-- 2. 노쇼 및 예약취소 건의 비정상 수납액 및 잔금 0원 일괄 보정
UPDATE crm_transaction_log
SET 
    Payment_Amount = 0,
    Unpaid_Amount = 0
WHERE Reservation_Status IN ('노쇼', '예약취소')
  AND (Payment_Amount &gt; 0 OR Unpaid_Amount &gt; 0);</t>
  </si>
  <si>
    <t>모순 데이터 5건 0원 보정 처리 완료 (가공 매출 왜곡 원천 차단)</t>
  </si>
  <si>
    <t>트랜잭션 정합성 확보</t>
  </si>
  <si>
    <t>SQL-QA-03</t>
  </si>
  <si>
    <t>데이터 정제</t>
  </si>
  <si>
    <t>수납 이상치 보정 (Negative Value Fix): 잔금이 음수(-20,000원)로 오입력된 오류 0원 정상화 (1건)</t>
  </si>
  <si>
    <t>-- 3. 잔금 음수 오입력 이상치 탐지 및 정상화 조치
UPDATE crm_transaction_log
SET Unpaid_Amount = 0
WHERE Unpaid_Amount &lt; 0;</t>
  </si>
  <si>
    <t>음수 오입력 1건 정상화 완료 (미수 잔금 집계 오류 해결)</t>
  </si>
  <si>
    <t>데이터 무결성 복구</t>
  </si>
  <si>
    <t>📊 [섹션 3] 일일 경영 KPI 및 채널 성과 자동 집계 SQL 쿼리</t>
  </si>
  <si>
    <t>분석 목적 및 집계 로직</t>
  </si>
  <si>
    <t>산출 지표 및 활용 방안</t>
  </si>
  <si>
    <t>SQL-KPI-01</t>
  </si>
  <si>
    <t>경영 지표</t>
  </si>
  <si>
    <t>일자별 핵심 경영 KPI 요약 집계 (수납액, 미수금, 완료건, 신환수)</t>
  </si>
  <si>
    <t>신환 수납금액</t>
  </si>
  <si>
    <t>-- 일자별 총 수납액, 미수 잔금, 진료 완료 건수, 신환 유입 건수 집계
SELECT 
    Reservation_Date,
    COUNT(CASE WHEN Reservation_Status = '진료완료' THEN 1 END) AS Completed_Count,
    COUNT(CASE WHEN Reservation_Status = '노쇼' THEN 1 END) AS NoShow_Count,
    COUNT(CASE WHEN Reservation_Status = '예약취소' THEN 1 END) AS Cancel_Count,
    COUNT(CASE WHEN Is_First_Visit = 'Y' AND Reservation_Status = '진료완료' THEN 1 END) AS New_Patients,
    SUM(CASE WHEN Reservation_Status = '진료완료' THEN Payment_Amount ELSE 0 END) AS Total_Revenue,
    SUM(CASE WHEN Reservation_Status = '진료완료' THEN Unpaid_Amount ELSE 0 END) AS Total_Unpaid
FROM crm_transaction_log
GROUP BY Reservation_Date
ORDER BY Reservation_Date;</t>
  </si>
  <si>
    <t>일일 매출 마감 대사표 및 원장단 일일 브리핑 자동화 리포트 생성</t>
  </si>
  <si>
    <t>일일 마감 집계</t>
  </si>
  <si>
    <t>SQL-KPI-02</t>
  </si>
  <si>
    <t>마케팅 분석</t>
  </si>
  <si>
    <t>유입 채널별 신환/구환 매출 기여도 및 이탈(노쇼/취소) 통합 성과 분석</t>
  </si>
  <si>
    <t>-- 유입 채널별 성과 매트릭스 (수납액, 이탈률, 신환 비중)
SELECT 
    Inflow_Channel,
    COUNT(*) AS Total_Reservations,
    SUM(CASE WHEN Is_First_Visit = 'Y' THEN 1 ELSE 0 END) AS New_Patient_Count,
    ROUND(SUM(CASE WHEN Is_First_Visit = 'Y' THEN 1 ELSE 0 END) / COUNT(*) * 100, 1) AS New_Patient_Rate,
    SUM(CASE WHEN Reservation_Status = '진료완료' THEN Payment_Amount ELSE 0 END) AS Completed_Revenue,
    SUM(CASE WHEN Reservation_Status = '진료완료' THEN Unpaid_Amount ELSE 0 END) AS Total_Unpaid,
    ROUND(SUM(CASE WHEN Reservation_Status IN ('노쇼', '예약취소') THEN 1 ELSE 0 END) / COUNT(*) * 100, 1) AS Drop_Rate
FROM crm_transaction_log
GROUP BY Inflow_Channel
ORDER BY Completed_Revenue DESC;</t>
  </si>
  <si>
    <t>마케팅 채널별 ROAS 분석, 예산 재배분 및 예약금(Deposit) 정책 수립 근거 제공</t>
  </si>
  <si>
    <t>채널 ROI 최적화</t>
  </si>
  <si>
    <t>KPI 요약</t>
  </si>
  <si>
    <t>진료 완료 건수</t>
  </si>
  <si>
    <t>구환 예약 건수</t>
  </si>
  <si>
    <t>구환 비율</t>
  </si>
  <si>
    <t>구환 수납금액</t>
  </si>
  <si>
    <t>📊 [분석 1] 유입 채널별 신환 vs 구환 예약 및 매출 기여도</t>
  </si>
  <si>
    <t>유입 채널</t>
  </si>
  <si>
    <t>전체 예약</t>
  </si>
  <si>
    <t>신환 건수(Y)</t>
  </si>
  <si>
    <t>구환 건수(N)</t>
  </si>
  <si>
    <t>신환 비중</t>
  </si>
  <si>
    <t>진료완료 건수</t>
  </si>
  <si>
    <t>진료완료율</t>
  </si>
  <si>
    <t>총 수납금액(원)</t>
  </si>
  <si>
    <t>신환 수납액(원)</t>
  </si>
  <si>
    <t>구환 수납액(원)</t>
  </si>
  <si>
    <t>신환 매출비중</t>
  </si>
  <si>
    <t>인스타그램</t>
  </si>
  <si>
    <t>🛡️ [데이터 운영 거버넌스] 트랜잭션 입력단 Validation &amp; 재발 방지 검증 규칙서</t>
  </si>
  <si>
    <t>CRM/EMR 수납 및 예약 트랜잭션 데이터 무결성 보장을 위한 시스템 제약 조건(Constraint) 및 운영 정제 정책 명세</t>
  </si>
  <si>
    <t>📋 [매트릭스 1] 데이터 무결성 검증 규칙 (Data Validation Rule Matrix)</t>
  </si>
  <si>
    <t>규칙 ID</t>
  </si>
  <si>
    <t>검증 대상 필드</t>
  </si>
  <si>
    <t>검증 유형</t>
  </si>
  <si>
    <t>이상치/에러 발생 시나리오</t>
  </si>
  <si>
    <t>입력단 시스템 차단 규칙 (System Constraint)</t>
  </si>
  <si>
    <t>사후 조치 및 정제 가이드 (QA Policy)</t>
  </si>
  <si>
    <t>관리 책임 부서</t>
  </si>
  <si>
    <t>VAL_01</t>
  </si>
  <si>
    <t>참조 무결성 (Referential)</t>
  </si>
  <si>
    <t>회원 마스터에 미등록된 임의/오타 차트번호 입력 (3건 발생)</t>
  </si>
  <si>
    <t>FOREIGN KEY (Chart_No) REFERENCES customer_master(Chart_No) ON UPDATE CASCADE</t>
  </si>
  <si>
    <t>원무팀 즉시 확인 후 신규 차트 등록 또는 오타 보정 동기화</t>
  </si>
  <si>
    <t>원무과 / CRM운영팀</t>
  </si>
  <si>
    <t>VAL_02</t>
  </si>
  <si>
    <t>Reservation_Status, Payment, Unpaid</t>
  </si>
  <si>
    <t>비즈니스 로직 (Business Logic)</t>
  </si>
  <si>
    <t>예약 취소/노쇼 상태임에도 결제액·잔금이 잔존 (5건 발생)</t>
  </si>
  <si>
    <t>CHECK ((Reservation_Status IN ('노쇼', '예약취소') AND Payment_Amount = 0 AND Unpaid_Amount = 0) OR (Reservation_Status = '진료완료'))</t>
  </si>
  <si>
    <t>취소/노쇼 확정 시 결제액 및 잔금 필드 0원 자동 초기화 트리거 실행</t>
  </si>
  <si>
    <t>수납데스크 / 전산팀</t>
  </si>
  <si>
    <t>VAL_03</t>
  </si>
  <si>
    <t>카카오톡</t>
  </si>
  <si>
    <t>범위 제약 (Range Check)</t>
  </si>
  <si>
    <t>수납 기입 오류로 미수 잔금이 음수(-20,000원)로 오입력 (1건 발생)</t>
  </si>
  <si>
    <t>CHECK (Unpaid_Amount &gt;= 0 AND Payment_Amount &gt;= 0)</t>
  </si>
  <si>
    <t>수납 단말기 승인 내역 및 환불 영수증 대사 후 잔금 0원 정상화 조치</t>
  </si>
  <si>
    <t>정산관리팀</t>
  </si>
  <si>
    <t>VAL_04</t>
  </si>
  <si>
    <t>Payment_Amount, Unpaid_Amount</t>
  </si>
  <si>
    <t>논리 정합성 (Logic Integrity)</t>
  </si>
  <si>
    <t>수납액과 잔금의 합계가 시술 정가 수가(수가 마스터)와 불일치</t>
  </si>
  <si>
    <t>CHECK (Payment_Amount + Unpaid_Amount = Item_Standard_Price * Discount_Rate)</t>
  </si>
  <si>
    <t>할인율 프로모션 코드 누락 여부 확인 및 원장 결재 확인 후 승인</t>
  </si>
  <si>
    <t>원무수납 / 경영기획</t>
  </si>
  <si>
    <t>VAL_05</t>
  </si>
  <si>
    <t>형식 및 도메인 (Format &amp; Range)</t>
  </si>
  <si>
    <t>진료 외 시간(야간, 휴무일 등) 또는 잘못된 시간 형식 입력</t>
  </si>
  <si>
    <t>CHECK (Reservation_Time BETWEEN '09:30:00' AND '19:30:00')</t>
  </si>
  <si>
    <t>예약 캘린더 타임슬롯 기반 강제 선택 UI(드롭다운) 적용으로 수기 입력 차단</t>
  </si>
  <si>
    <t>예약상담실 / 전산팀</t>
  </si>
  <si>
    <t>VAL_06</t>
  </si>
  <si>
    <t>도메인 무결성 (Enum)</t>
  </si>
  <si>
    <t>미정의 유입경로 기입 또는 띄어쓰기 오타('인스타 ', '네이버 ')</t>
  </si>
  <si>
    <t>ENUM('인스타그램', '카카오톡', '네이버검색', '당근마켓', '지인추천', '재방문')</t>
  </si>
  <si>
    <t>자유 텍스트 입력 금지, 표준화된 유입채널 단일 선택 칩(Chip) 적용</t>
  </si>
  <si>
    <t>마케팅팀 / EMR운영</t>
  </si>
  <si>
    <t>VAL_07</t>
  </si>
  <si>
    <t>상태 일관성 (State Consistency)</t>
  </si>
  <si>
    <t>과거 진료 이력이 존재함에도 신환('Y')으로 잘못 체크</t>
  </si>
  <si>
    <t>자동 산출 필드로 전환: IF(COUNT(이전자격이력) = 0, 'Y', 'N') 시스템 산출</t>
  </si>
  <si>
    <t>사용자 수기 체크박스 비활성화 및 차트번호 기반 백엔드 자동 판별</t>
  </si>
  <si>
    <t>CRM전산팀</t>
  </si>
  <si>
    <t>🔄 [매트릭스 2] Data QA 운영 주기 및 일일 마감 점검 프로세스 (QA Operating Cycle)</t>
  </si>
  <si>
    <t>점검 단계</t>
  </si>
  <si>
    <t>점검 시점</t>
  </si>
  <si>
    <t>점검 대상 및 방법</t>
  </si>
  <si>
    <t>통과 기준 (SLA)</t>
  </si>
  <si>
    <t>오류 발견 시 대응 조치 (Escalation)</t>
  </si>
  <si>
    <t>보고 대상</t>
  </si>
  <si>
    <t>1단계: 입력단 실시간 검증</t>
  </si>
  <si>
    <t>데이터 생성 즉시</t>
  </si>
  <si>
    <t>EMR/CRM 입력 폼 유효성 검사 스크립트 실행</t>
  </si>
  <si>
    <t>이상치 발생률 0% (차단율 100%)</t>
  </si>
  <si>
    <t>입력 팝업 경고창 출력 및 저장 버튼 비활성화</t>
  </si>
  <si>
    <t>원무/상담 현장 입력자</t>
  </si>
  <si>
    <t>프론트엔드 유효성 검사</t>
  </si>
  <si>
    <t>2단계: 일일 마감 대사 QA</t>
  </si>
  <si>
    <t>매일 19:30 (진료 종료 직후)</t>
  </si>
  <si>
    <t>PG 카드사 실매출 전표 vs EMR 결제 데이터 1:1 대사</t>
  </si>
  <si>
    <t>불일치 금액 0원 (오차 0%)</t>
  </si>
  <si>
    <t>불일치 건 즉시 추적 후 일일 마감 전 정정 전표 발행</t>
  </si>
  <si>
    <t>원무과장, 총괄실장</t>
  </si>
  <si>
    <t>SQL 대사 쿼리 배치 실행</t>
  </si>
  <si>
    <t>3단계: 예약 및 이탈 데이터 QA</t>
  </si>
  <si>
    <t>익일 09:00 (진료 개시 전)</t>
  </si>
  <si>
    <t>전일 노쇼/취소 환자 잔여 결제액 및 미수 잔금 전수 검증</t>
  </si>
  <si>
    <t>노쇼/취소 건 잔금 잔존 0건</t>
  </si>
  <si>
    <t>원무팀 소명 요청 및 미수 데이터 0원 보정 승인</t>
  </si>
  <si>
    <t>CRM 운영팀장</t>
  </si>
  <si>
    <t>자동 보정 트리거 동작 확인</t>
  </si>
  <si>
    <t>4단계: 월간 마감 및 거버넌스</t>
  </si>
  <si>
    <t>익월 1영업일</t>
  </si>
  <si>
    <t>월간 이상치 발생 건수 및 유형별 원인 분석 리포트 발행</t>
  </si>
  <si>
    <t>월간 QA 이상치 0건 목표</t>
  </si>
  <si>
    <t>EMR 시스템 제약조건 패치 및 원무팀 재발방지 교육</t>
  </si>
  <si>
    <t>MSO 경영진 / 이사회</t>
  </si>
  <si>
    <t>경영진 의사결정 보고</t>
  </si>
  <si>
    <t>네이버검색</t>
  </si>
  <si>
    <t>구분</t>
  </si>
  <si>
    <t>GitHub README.md 마크다운 원문 (Ctrl+C 복사 후 바로 사용 가능)</t>
  </si>
  <si>
    <t>채용담당자 / 면접관 관점의 핵심 평가 포인트 (Recruiter Review Point)</t>
  </si>
  <si>
    <t>HEADER</t>
  </si>
  <si>
    <t># 🏥 [포트폴리오] 의료 MSO 비즈니스 데이터 파이프라인 &amp; CRM Data QA
&gt; **의료 MSO 환경의 결제·예약 트랜잭션 데이터 무결성 검증 및 일일 경영 의사결정 대시보드 구축**
[![Tech Stack](https://img.shields.io/badge/Stack-MySQL%20%7C%20HeidiSQL%20%7C%20GoogleSheets%20%7C%20Excel-blue)](https://github.com)
[![Data QA](https://img.shields.io/badge/Data%20QA-9%20Errors%20Cleaned%20(100%25)-success)](https://github.com)
[![Role](https://img.shields.io/badge/Target%20Role-Data%20Analyst%20%7C%20Data%20Ops%20%7C%20EMR%20IT-orange)](https://github.com)</t>
  </si>
  <si>
    <t>당근마켓</t>
  </si>
  <si>
    <t>• 직관적인 배지와 헤더로 지원자의 기술 스택 및 프로젝트 성격 명확화
• 분석/운영/전산 세 가지 직무 모두에 어필 가능한 멀티 역량 강조</t>
  </si>
  <si>
    <t>SEC_01</t>
  </si>
  <si>
    <t>---
## 📌 1. 프로젝트 배경 및 목적 (Background &amp; Objectives)
* **비즈니스 배경**: 피부과·성형외과 등 비급여 의료 MSO에서는 일일 30~50건 이상의 예약, 결제, 노쇼(No-Show) 트랜잭션이 발생하며, 프론트 수기 기입으로 인한 결제 누락 및 이상치가 발생하기 쉽습니다.
* **프로젝트 목표**:
  1. **데이터 무결성 검증 (Data QA)**: 회원 마스터 미등록, 취소 건 결제 잔존 등 이상치를 전수 정제하여 데이터 신뢰도 100% 확보.
  2. **일일 경영 KPI 대시보드화**: 총 수납금액, 미수 잔금, 신환/구환 유입률을 실시간 집계하는 운영 대시보드 구축.
  3. **재발 방지 거버넌스 수립**: EMR 입력단 제약조건 및 일일 마감 대사 프로세스를 설계하여 시스템적 오류 방지.</t>
  </si>
  <si>
    <t>• 단순 툴 활용이 아닌 비즈니스 문제 정의 및 경영 기여 목표 제시
• 의료 MSO의 도메인 특성(비급여 시술, 노쇼 리스크)을 정확히 이해하고 있음을 입증</t>
  </si>
  <si>
    <t>SEC_02</t>
  </si>
  <si>
    <t>---
## 🔍 2. 핵심 데이터 정합성 검증 (Data QA 내역 - 9건 정제)
EMR/CRM 트랜잭션 로그 47건 중 **총 9건의 치명적 이상치를 탐지 및 정제**하였습니다.
| 구분 | 검증 유형 | 에러 탐지 내용 및 건수 | 원인 분석 | 정제 및 조치 결과 |
|:---:|:---:|:---|:---|:---|
| **QA-01** | **기준정보 누락** | 회원 마스터 미등록 차트번호 **3건** | EMR 차트 채번 전 예약 로그 선입력 | 마스터 테이블과 VLOOKUP 대사 후 신규 등록 동기화 |
| **QA-02** | **비즈니스 모순** | 예약 취소·노쇼 건 결제액/잔금 잔존 **5건** | 예약 상태 변경 시 수납액 미취소 전산 누락 | 결제금액 및 미수 잔금 **0원 일괄 보정** (매출 왜곡 원천 차단) |
| **QA-03** | **수납 이상치** | 미수 잔금이 음수(-20,000원) 입력 **1건** | 부분 환불/프로모션 차감 시 오입력 | 카드 승인 내역 대사 후 잔금 0원 정상화 조치 |</t>
  </si>
  <si>
    <t>• 지원자의 실제 문제 해결 역량(Troubleshooting)을 구체적 수치로 증명
• 매출 왜곡(가공 매출)을 사전에 차단한 비즈니스 임팩트 부각</t>
  </si>
  <si>
    <t>SEC_03</t>
  </si>
  <si>
    <t>---
## 🛡️ 3. 데이터 운영 및 재발 방지 거버넌스 (Data Governance)
사후 정제에 그치지 않고, **시스템 입력단에서 이상치를 원천 차단**하는 데이터 운영 거버넌스를 설계하였습니다.
```sql
-- 1. 회원 마스터 참조 무결성 외래키 제약 (Foreign Key)
ALTER TABLE crm_transaction_log
ADD CONSTRAINT fk_chart_no FOREIGN KEY (Chart_No) REFERENCES customer_master(Chart_No);
-- 2. 비즈니스 로직 제약 조건 (CHECK Constraint)
ALTER TABLE crm_transaction_log
ADD CONSTRAINT chk_cancel_zero_payment
CHECK ((Reservation_Status IN ('노쇼', '예약취소') AND Payment_Amount = 0 AND Unpaid_Amount = 0) 
       OR (Reservation_Status = '진료완료'));
-- 3. 잔금 음수 방지 제약 조건
ALTER TABLE crm_transaction_log
ADD CONSTRAINT chk_positive_unpaid CHECK (Unpaid_Amount &gt;= 0 AND Payment_Amount &gt;= 0);
```
### 🔄 4단계 QA 운영 사이클
1. **1단계 (실시간)**: EMR 프론트엔드 입력 폼 유효성 검사 (마스터 외 차트번호 차단, 필수값 검증)
2. **2단계 (19:30 일일마감)**: PG 카드사 승인 내역과 EMR 수납액 1:1 대사 SQL 배치 실행
3. **3단계 (익일 09:00)**: 전일 노쇼/취소 환자 잔여 결제액 0원 보정 여부 전수 감사
4. **4단계 (월간결산)**: 월간 이상치 제로(Zero-Defect) 거버넌스 리포트 경영진 보고</t>
  </si>
  <si>
    <t>• 데이터 운영(Data Operations) 및 데이터 엔지니어링 직무의 핵심 역량 증명
• 일회성 분석을 넘어선 프로세스 자동화 및 거버넌스 설계 능력 어필</t>
  </si>
  <si>
    <t>SEC_04</t>
  </si>
  <si>
    <t>---
## 🗄️ 4. 데이터베이스 모델링 &amp; ERD (Data Architecture)
정규화(Normalization) 원칙에 따라 데이터 구조를 설계하여 중복을 최소화하고 확장성을 확보하였습니다.
* **customer_master (1)** ──&lt; **crm_transaction_log (N)**: 환자 기준정보 및 이력 관리
* **treatment_master (1)** ──&lt; **crm_transaction_log (N)**: 시술 표준 수가표 관리
* **consultant_master (1)** ──&lt; **crm_transaction_log (N)**: 상담 실장별 매출 인센티브 추적</t>
  </si>
  <si>
    <t>• 전산 및 데이터베이스 설계(RDBMS) 역량 명시
• 확장 가능한 구조를 설계할 수 있는 IT 감각 증명</t>
  </si>
  <si>
    <t>SEC_05</t>
  </si>
  <si>
    <t>---
## 📊 5. 핵심 경영 인사이트 및 전략적 제언 (Key Insights &amp; Action Plan)
* **총 수납금액**: 13,804,000원 (진료 완료 34건) | **총 미수 잔금**: 900,000원 | **전체 예약**: 47건
### 💡 채널별 성과 및 실행 제언
1. **인스타그램 (최고 매출 견인 &amp; 미수금 리스크 집중)**:
   * 전체 매출의 **30.8%(4,245,000원)**를 견인하는 핵심 채널.
   * 반면 전체 미수금의 **88.9%(800,000원)**가 인스타 유입 울쎄라/써마지 환자에게 집중.
   * ➔ **실행 제언**: 고단가 시술 예약 시 **사전 예약금(Deposit 10~20%) 제도 의무화** 및 당일 수납 완납 프로토콜 도입.
2. **카카오톡 (최우수 충성도 &amp; 이탈률 0%)**:
   * 총 9건 중 노쇼/취소 0건으로 **진료 완수율 100% 달성** (매출 2,645,000원, 미수 잔금 50,000원).
   * ➔ **실행 제언**: 주기적 시술 리콜 알림톡 및 지인 추천 프로모션으로 고객 락인(Lock-in) 극대화.
3. **네이버검색 &amp; 당근마켓 (높은 노쇼율 개선 시급)**:
   * 네이버검색 이탈률 **57.1%**, 당근마켓 이탈률 **40.0%** (전체 이탈의 46.2% 차지).
   * ➔ **실행 제언**: 예약 전일/당일 카카오 알림톡 자동 재확인 시스템 도입 및 오버부킹 방지를 위한 가변 스케줄링 운영.</t>
  </si>
  <si>
    <t>• 데이터 추출에 그치지 않고 C-Level 경영진에게 제안할 수 있는 비즈니스 전략 도출
• 지표와 연계된 구체적이고 실행 가능한(Actionable) 솔루션 제시</t>
  </si>
  <si>
    <t>SEC_06</t>
  </si>
  <si>
    <t>---
## 💻 6. 핵심 SQL 분석 쿼리 (Key SQL Queries)
```sql
-- [SQL-01] 일자별 핵심 경영 KPI 요약 쿼리
SELECT 
    Reservation_Date,
    COUNT(CASE WHEN Reservation_Status = '진료완료' THEN 1 END) AS Completed_Count,
    SUM(CASE WHEN Reservation_Status = '진료완료' THEN Payment_Amount ELSE 0 END) AS Daily_Revenue,
    SUM(CASE WHEN Reservation_Status = '진료완료' THEN Unpaid_Amount ELSE 0 END) AS Daily_Unpaid
FROM crm_transaction_log
GROUP BY Reservation_Date ORDER BY Reservation_Date;
-- [SQL-02] 유입 채널별 신환/구환 매출 기여도 및 이탈률 분석
SELECT 
    Inflow_Channel,
    COUNT(*) AS Total_Reservations,
    ROUND(SUM(CASE WHEN Is_First_Visit = 'Y' THEN 1 ELSE 0 END) / COUNT(*) * 100, 1) AS New_Patient_Rate,
    SUM(CASE WHEN Reservation_Status = '진료완료' THEN Payment_Amount ELSE 0 END) AS Revenue,
    ROUND(SUM(CASE WHEN Reservation_Status IN ('노쇼', '예약취소') THEN 1 ELSE 0 END) / COUNT(*) * 100, 1) AS Drop_Rate
FROM crm_transaction_log
GROUP BY Inflow_Channel ORDER BY Revenue DESC;
```</t>
  </si>
  <si>
    <t>• 실무 수준의 조건부 집계(CASE WHEN, ROUND, GROUP BY) SQL 능력 증명
• MySQL 환경에서 검증 완료된 쿼리 코드 제공</t>
  </si>
  <si>
    <t>SEC_07</t>
  </si>
  <si>
    <t>---
## 🎯 7. 지원 직무별 차별화 역량 (Role-Fit Summary)
* **데이터 분석가 (Data Analyst)**: 트랜잭션 데이터에서 채널별 CAC/LTV 리스크를 발견하고, 지표 기반 전략 수립.
* **데이터 운영자 (Data Operator)**: 9건의 데이터 결함을 정제하고 재발 방지 Validation 및 일일 마감 대사 프로세스 확립.
* **병원 전산 / EMR 담당자 (Hospital IT)**: RDBMS 스키마 설계, 외래키 무결성 제약조건 및 SQL 기반 데이터 파이프라인 관리.</t>
  </si>
  <si>
    <t>• 3개 타깃 직무에 맞춘 포지셔닝 완결
• 채용 전형에서 다면 평가 시 일관된 전문성 전달</t>
  </si>
  <si>
    <t>검증</t>
  </si>
  <si>
    <t>지인추천</t>
  </si>
  <si>
    <t>C250011</t>
  </si>
  <si>
    <t>N</t>
  </si>
  <si>
    <t>CS_01</t>
  </si>
  <si>
    <t>진료완료</t>
  </si>
  <si>
    <t>피코토닝 10회</t>
  </si>
  <si>
    <t>U1011</t>
  </si>
  <si>
    <t>김*수</t>
  </si>
  <si>
    <t>010-1234-5678</t>
  </si>
  <si>
    <t>VIP</t>
  </si>
  <si>
    <t>C250012</t>
  </si>
  <si>
    <t>U1012</t>
  </si>
  <si>
    <t>이*영</t>
  </si>
  <si>
    <t>010-2345-6789</t>
  </si>
  <si>
    <t>일반</t>
  </si>
  <si>
    <t>C250013</t>
  </si>
  <si>
    <t>U1013</t>
  </si>
  <si>
    <t>박*진</t>
  </si>
  <si>
    <t>010-3456-7890</t>
  </si>
  <si>
    <t>우수</t>
  </si>
  <si>
    <t>C250014</t>
  </si>
  <si>
    <t>U1014</t>
  </si>
  <si>
    <t>최*훈</t>
  </si>
  <si>
    <t>010-4567-8901</t>
  </si>
  <si>
    <t>C250015</t>
  </si>
  <si>
    <t>U1015</t>
  </si>
  <si>
    <t>정*아</t>
  </si>
  <si>
    <t>010-5678-9012</t>
  </si>
  <si>
    <t>C250016</t>
  </si>
  <si>
    <t>U1016</t>
  </si>
  <si>
    <t>강*석</t>
  </si>
  <si>
    <t>010-6789-0123</t>
  </si>
  <si>
    <t>C250017</t>
  </si>
  <si>
    <t>U1017</t>
  </si>
  <si>
    <t>조*희</t>
  </si>
  <si>
    <t>010-7890-1234</t>
  </si>
  <si>
    <t>C250018</t>
  </si>
  <si>
    <t>U1018</t>
  </si>
  <si>
    <t>윤*미</t>
  </si>
  <si>
    <t>010-8901-2345</t>
  </si>
  <si>
    <t>C250019</t>
  </si>
  <si>
    <t>U1019</t>
  </si>
  <si>
    <t>장*민</t>
  </si>
  <si>
    <t>010-9012-3456</t>
  </si>
  <si>
    <t>C250020</t>
  </si>
  <si>
    <t>U1020</t>
  </si>
  <si>
    <t>임*주</t>
  </si>
  <si>
    <t>010-0123-4567</t>
  </si>
  <si>
    <t>C260021</t>
  </si>
  <si>
    <t>U1021</t>
  </si>
  <si>
    <t>한*수</t>
  </si>
  <si>
    <t>010-1111-2222</t>
  </si>
  <si>
    <t>C260022</t>
  </si>
  <si>
    <t>U1022</t>
  </si>
  <si>
    <t>오*연</t>
  </si>
  <si>
    <t>010-2222-3333</t>
  </si>
  <si>
    <t>C260023</t>
  </si>
  <si>
    <t>U1023</t>
  </si>
  <si>
    <t>서*우</t>
  </si>
  <si>
    <t>010-3333-4444</t>
  </si>
  <si>
    <t>C260024</t>
  </si>
  <si>
    <t>U1024</t>
  </si>
  <si>
    <t>신*혜</t>
  </si>
  <si>
    <t>010-4444-5555</t>
  </si>
  <si>
    <t>C260025</t>
  </si>
  <si>
    <t>U1025</t>
  </si>
  <si>
    <t>권*현</t>
  </si>
  <si>
    <t>010-5555-6666</t>
  </si>
  <si>
    <t>C260026</t>
  </si>
  <si>
    <t>U1026</t>
  </si>
  <si>
    <t>황*영</t>
  </si>
  <si>
    <t>010-6666-7777</t>
  </si>
  <si>
    <t>C260027</t>
  </si>
  <si>
    <t>U1027</t>
  </si>
  <si>
    <t>안*진</t>
  </si>
  <si>
    <t>010-7777-8888</t>
  </si>
  <si>
    <t>C260028</t>
  </si>
  <si>
    <t>U1028</t>
  </si>
  <si>
    <t>송*민</t>
  </si>
  <si>
    <t>010-8888-9999</t>
  </si>
  <si>
    <t>C260029</t>
  </si>
  <si>
    <t>U1029</t>
  </si>
  <si>
    <t>전*아</t>
  </si>
  <si>
    <t>010-9999-0000</t>
  </si>
  <si>
    <t>C260030</t>
  </si>
  <si>
    <t>U1030</t>
  </si>
  <si>
    <t>고*석</t>
  </si>
  <si>
    <t>010-0000-1111</t>
  </si>
  <si>
    <t>재방문</t>
  </si>
  <si>
    <t>CS_02</t>
  </si>
  <si>
    <t>사각턱보톡스</t>
  </si>
  <si>
    <t>Y</t>
  </si>
  <si>
    <t>노쇼</t>
  </si>
  <si>
    <t>입술필러</t>
  </si>
  <si>
    <t>CS_03</t>
  </si>
  <si>
    <t>울쎄라 300샷</t>
  </si>
  <si>
    <t>리쥬란힐러 2cc</t>
  </si>
  <si>
    <t>겨드랑이제모 5회</t>
  </si>
  <si>
    <t>예약취소</t>
  </si>
  <si>
    <t>슈링크 400샷</t>
  </si>
  <si>
    <t>합계</t>
  </si>
  <si>
    <t>미간보톡스</t>
  </si>
  <si>
    <t>인모드 FORMA</t>
  </si>
  <si>
    <t>아쿠아필</t>
  </si>
  <si>
    <t>💉 [분석 2] 주요 시술 항목별 신환 vs 구환 매출 분석</t>
  </si>
  <si>
    <t>시술 항목</t>
  </si>
  <si>
    <t>신환 건수</t>
  </si>
  <si>
    <t>구환 건수</t>
  </si>
  <si>
    <t>신환 매출 기여율</t>
  </si>
  <si>
    <t>금액삭제(예약취소)</t>
  </si>
  <si>
    <t>여드름스케일링</t>
  </si>
  <si>
    <t>팔자필러</t>
  </si>
  <si>
    <t>써마지 600샷</t>
  </si>
  <si>
    <t>쥬베룩 볼륨</t>
  </si>
  <si>
    <t>피코프락셀</t>
  </si>
  <si>
    <t>종아리보톡스</t>
  </si>
  <si>
    <t>애교필러</t>
  </si>
  <si>
    <t>인중제모</t>
  </si>
  <si>
    <t>울쎄라 600샷</t>
  </si>
  <si>
    <t>잔금 수정</t>
  </si>
  <si>
    <t>인모드 FX</t>
  </si>
  <si>
    <t>잔금삭제</t>
  </si>
  <si>
    <t>📅 일일 핵심 KPI 대시보드 (2026-10-15 ~ 10-18)</t>
  </si>
  <si>
    <t>총 수납금액 (원)</t>
  </si>
  <si>
    <t>총 미수 잔금 (원)</t>
  </si>
  <si>
    <t>코필러</t>
  </si>
  <si>
    <t>신규 환자(신환) 유입 수</t>
  </si>
  <si>
    <t>총 진료 완료 건수</t>
  </si>
  <si>
    <t>종아리제모</t>
  </si>
  <si>
    <r>
      <rPr>
        <b/>
        <sz val="12"/>
        <color theme="1"/>
        <rFont val="Segoe UI Emoji"/>
      </rPr>
      <t>📌</t>
    </r>
    <r>
      <rPr>
        <b/>
        <sz val="12"/>
        <color theme="1"/>
        <rFont val="맑은 고딕"/>
        <family val="3"/>
        <charset val="129"/>
      </rPr>
      <t xml:space="preserve"> 유입경로별 매출 및 잔금 현황</t>
    </r>
  </si>
  <si>
    <t>📌 날짜별 마감 실적</t>
  </si>
  <si>
    <t>유입 경로</t>
  </si>
  <si>
    <t>예약 건수</t>
  </si>
  <si>
    <t>노쇼 건수</t>
  </si>
  <si>
    <t>예약취소 건수</t>
  </si>
  <si>
    <t>실제 수납금액(원)</t>
  </si>
  <si>
    <t>미수 잔금(원)</t>
  </si>
  <si>
    <t>예약일자</t>
  </si>
  <si>
    <t>당일 예약 건수</t>
  </si>
  <si>
    <t>당일 수납금액(원)</t>
  </si>
  <si>
    <t>당일 잔금(원)</t>
  </si>
  <si>
    <t>금액삭제(노쇼)</t>
  </si>
  <si>
    <t>2026-10-15</t>
  </si>
  <si>
    <t>2026-10-16</t>
  </si>
  <si>
    <t>2026-10-17</t>
  </si>
  <si>
    <t>2026-10-18</t>
  </si>
  <si>
    <t>기타 시술</t>
  </si>
  <si>
    <t>총건수</t>
  </si>
  <si>
    <t>⚠️ [분석 3] 채널별 노쇼(No-Show) 및 예약 취소율 분석 (이탈 리스크 매트릭스)</t>
  </si>
  <si>
    <t>노쇼(No-Show)</t>
  </si>
  <si>
    <t>예약 취소</t>
  </si>
  <si>
    <t>총 이탈 건수</t>
  </si>
  <si>
    <t>노쇼율</t>
  </si>
  <si>
    <t>취소율</t>
  </si>
  <si>
    <t>전체 이탈률</t>
  </si>
  <si>
    <t>리스크 등급</t>
  </si>
  <si>
    <t>채널별 대응 전략 제언</t>
  </si>
  <si>
    <t>수납금액</t>
  </si>
  <si>
    <t>미수잔금</t>
  </si>
  <si>
    <t>`</t>
  </si>
  <si>
    <t>예약금(Deposit) 도입 및 시술 당일 잔금 완납 프로토콜 필요</t>
  </si>
  <si>
    <t>최우수 안정 채널 - 리텐션 프로그램 및 충성고객 락인 강화</t>
  </si>
  <si>
    <t>예약 전일/당일 리마인드 알림톡 필수 발송 및 가변 스케줄링 배정</t>
  </si>
  <si>
    <t>예약 리컨펌 확인 및 노쇼 패널티 규정 안내</t>
  </si>
  <si>
    <t>소개자 리워드 혜택 연계로 이탈 방지 및 충성도 유지</t>
  </si>
  <si>
    <t>기존 고객 케어 알림 및 정기 시술 리콜 안내</t>
  </si>
  <si>
    <t>합계 / 평균</t>
  </si>
  <si>
    <t>전체 예약 중 이탈 방지를 위한 통합 CRM 리마인드 프로세스 구축 필요</t>
  </si>
  <si>
    <r>
      <t xml:space="preserve">
</t>
    </r>
    <r>
      <rPr>
        <sz val="11"/>
        <color theme="1"/>
        <rFont val="Segoe UI Symbol"/>
        <family val="2"/>
      </rPr>
      <t>📊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일일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핵심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경영</t>
    </r>
    <r>
      <rPr>
        <sz val="11"/>
        <color theme="1"/>
        <rFont val="Calibri"/>
        <family val="2"/>
      </rPr>
      <t xml:space="preserve"> KPI </t>
    </r>
    <r>
      <rPr>
        <sz val="11"/>
        <color theme="1"/>
        <rFont val="맑은 고딕"/>
        <family val="2"/>
        <charset val="129"/>
      </rPr>
      <t>요약</t>
    </r>
    <r>
      <rPr>
        <sz val="11"/>
        <color theme="1"/>
        <rFont val="Calibri"/>
        <family val="2"/>
      </rPr>
      <t xml:space="preserve"> (2026-10-15 ~ 2026-10-18)
• </t>
    </r>
    <r>
      <rPr>
        <sz val="11"/>
        <color theme="1"/>
        <rFont val="맑은 고딕"/>
        <family val="2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수납금액</t>
    </r>
    <r>
      <rPr>
        <sz val="11"/>
        <color theme="1"/>
        <rFont val="Calibri"/>
        <family val="2"/>
      </rPr>
      <t>: 13,804,000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2"/>
        <charset val="129"/>
      </rPr>
      <t>총</t>
    </r>
    <r>
      <rPr>
        <sz val="11"/>
        <color theme="1"/>
        <rFont val="Calibri"/>
        <family val="2"/>
      </rPr>
      <t xml:space="preserve"> 34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진료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기준</t>
    </r>
    <r>
      <rPr>
        <sz val="11"/>
        <color theme="1"/>
        <rFont val="Calibri"/>
        <family val="2"/>
      </rPr>
      <t xml:space="preserve">)
• </t>
    </r>
    <r>
      <rPr>
        <sz val="11"/>
        <color theme="1"/>
        <rFont val="맑은 고딕"/>
        <family val="2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미수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잔금</t>
    </r>
    <r>
      <rPr>
        <sz val="11"/>
        <color theme="1"/>
        <rFont val="Calibri"/>
        <family val="2"/>
      </rPr>
      <t>: 900,000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</rPr>
      <t xml:space="preserve">
• </t>
    </r>
    <r>
      <rPr>
        <sz val="11"/>
        <color theme="1"/>
        <rFont val="맑은 고딕"/>
        <family val="2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예약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건수</t>
    </r>
    <r>
      <rPr>
        <sz val="11"/>
        <color theme="1"/>
        <rFont val="Calibri"/>
        <family val="2"/>
      </rPr>
      <t>: 47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2"/>
        <charset val="129"/>
      </rPr>
      <t>진료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</rPr>
      <t xml:space="preserve"> 34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노쇼</t>
    </r>
    <r>
      <rPr>
        <sz val="11"/>
        <color theme="1"/>
        <rFont val="Calibri"/>
        <family val="2"/>
      </rPr>
      <t xml:space="preserve"> 7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예약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취소</t>
    </r>
    <r>
      <rPr>
        <sz val="11"/>
        <color theme="1"/>
        <rFont val="Calibri"/>
        <family val="2"/>
      </rPr>
      <t xml:space="preserve"> 6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</rPr>
      <t xml:space="preserve">)
• </t>
    </r>
    <r>
      <rPr>
        <sz val="11"/>
        <color theme="1"/>
        <rFont val="맑은 고딕"/>
        <family val="2"/>
        <charset val="129"/>
      </rPr>
      <t>신규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환자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</rPr>
      <t>신환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</rPr>
      <t>유입</t>
    </r>
    <r>
      <rPr>
        <sz val="11"/>
        <color theme="1"/>
        <rFont val="Calibri"/>
        <family val="2"/>
      </rPr>
      <t>: 15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건수</t>
    </r>
    <r>
      <rPr>
        <sz val="11"/>
        <color theme="1"/>
        <rFont val="Calibri"/>
        <family val="2"/>
      </rPr>
      <t xml:space="preserve"> 34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신환</t>
    </r>
    <r>
      <rPr>
        <sz val="11"/>
        <color theme="1"/>
        <rFont val="Calibri"/>
        <family val="2"/>
      </rPr>
      <t xml:space="preserve"> 15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구환</t>
    </r>
    <r>
      <rPr>
        <sz val="11"/>
        <color theme="1"/>
        <rFont val="Calibri"/>
        <family val="2"/>
      </rPr>
      <t xml:space="preserve"> 19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Segoe UI Symbol"/>
        <family val="2"/>
      </rPr>
      <t>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핵심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분석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인사이트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전략적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제언</t>
    </r>
    <r>
      <rPr>
        <sz val="11"/>
        <color theme="1"/>
        <rFont val="Calibri"/>
        <family val="2"/>
      </rPr>
      <t xml:space="preserve"> (Key Takeaways)
1. </t>
    </r>
    <r>
      <rPr>
        <sz val="11"/>
        <color theme="1"/>
        <rFont val="맑은 고딕"/>
        <family val="2"/>
        <charset val="129"/>
      </rPr>
      <t>인스타그램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채널의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고매출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견인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미수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잔금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리스크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필요</t>
    </r>
    <r>
      <rPr>
        <sz val="11"/>
        <color theme="1"/>
        <rFont val="Calibri"/>
        <family val="2"/>
      </rPr>
      <t xml:space="preserve">
• </t>
    </r>
    <r>
      <rPr>
        <sz val="11"/>
        <color theme="1"/>
        <rFont val="맑은 고딕"/>
        <family val="2"/>
        <charset val="129"/>
      </rPr>
      <t>매출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기여도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맑은 고딕"/>
        <family val="2"/>
        <charset val="129"/>
      </rPr>
      <t>위</t>
    </r>
    <r>
      <rPr>
        <sz val="11"/>
        <color theme="1"/>
        <rFont val="Calibri"/>
        <family val="2"/>
      </rPr>
      <t>: '</t>
    </r>
    <r>
      <rPr>
        <sz val="11"/>
        <color theme="1"/>
        <rFont val="맑은 고딕"/>
        <family val="2"/>
        <charset val="129"/>
      </rPr>
      <t>유입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채널별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수납금액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미수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잔금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현황</t>
    </r>
    <r>
      <rPr>
        <sz val="11"/>
        <color theme="1"/>
        <rFont val="Calibri"/>
        <family val="2"/>
      </rPr>
      <t xml:space="preserve">' </t>
    </r>
    <r>
      <rPr>
        <sz val="11"/>
        <color theme="1"/>
        <rFont val="맑은 고딕"/>
        <family val="2"/>
        <charset val="129"/>
      </rPr>
      <t>차트에서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있듯이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인스타그램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유입은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총</t>
    </r>
    <r>
      <rPr>
        <sz val="11"/>
        <color theme="1"/>
        <rFont val="Calibri"/>
        <family val="2"/>
      </rPr>
      <t xml:space="preserve"> 7</t>
    </r>
    <r>
      <rPr>
        <sz val="11"/>
        <color theme="1"/>
        <rFont val="맑은 고딕"/>
        <family val="2"/>
        <charset val="129"/>
      </rPr>
      <t>건의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예약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맑은 고딕"/>
        <family val="2"/>
        <charset val="129"/>
      </rPr>
      <t>건이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진료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완료되어</t>
    </r>
    <r>
      <rPr>
        <sz val="11"/>
        <color theme="1"/>
        <rFont val="Calibri"/>
        <family val="2"/>
      </rPr>
      <t xml:space="preserve"> 4,245,000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수납액의</t>
    </r>
    <r>
      <rPr>
        <sz val="11"/>
        <color theme="1"/>
        <rFont val="Calibri"/>
        <family val="2"/>
      </rPr>
      <t xml:space="preserve"> 30.8%)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매출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채널입니다</t>
    </r>
    <r>
      <rPr>
        <sz val="11"/>
        <color theme="1"/>
        <rFont val="Calibri"/>
        <family val="2"/>
      </rPr>
      <t xml:space="preserve">.
• </t>
    </r>
    <r>
      <rPr>
        <sz val="11"/>
        <color theme="1"/>
        <rFont val="맑은 고딕"/>
        <family val="2"/>
        <charset val="129"/>
      </rPr>
      <t>미수금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리스크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미수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잔금</t>
    </r>
    <r>
      <rPr>
        <sz val="11"/>
        <color theme="1"/>
        <rFont val="Calibri"/>
        <family val="2"/>
      </rPr>
      <t>(900,000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</rPr>
      <t xml:space="preserve"> **88.9%(800,000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</rPr>
      <t>)**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인스타그램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유입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환자에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집중되어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있습니다</t>
    </r>
    <r>
      <rPr>
        <sz val="11"/>
        <color theme="1"/>
        <rFont val="Calibri"/>
        <family val="2"/>
      </rPr>
      <t xml:space="preserve">.
• </t>
    </r>
    <r>
      <rPr>
        <sz val="11"/>
        <color theme="1"/>
        <rFont val="맑은 고딕"/>
        <family val="2"/>
        <charset val="129"/>
      </rPr>
      <t>주요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미수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사례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2"/>
        <charset val="129"/>
      </rPr>
      <t>차트번호</t>
    </r>
    <r>
      <rPr>
        <sz val="11"/>
        <color theme="1"/>
        <rFont val="Calibri"/>
        <family val="2"/>
      </rPr>
      <t xml:space="preserve"> C250014(</t>
    </r>
    <r>
      <rPr>
        <sz val="11"/>
        <color theme="1"/>
        <rFont val="맑은 고딕"/>
        <family val="2"/>
        <charset val="129"/>
      </rPr>
      <t>울쎄라</t>
    </r>
    <r>
      <rPr>
        <sz val="11"/>
        <color theme="1"/>
        <rFont val="Calibri"/>
        <family val="2"/>
      </rPr>
      <t xml:space="preserve"> 300</t>
    </r>
    <r>
      <rPr>
        <sz val="11"/>
        <color theme="1"/>
        <rFont val="맑은 고딕"/>
        <family val="2"/>
        <charset val="129"/>
      </rPr>
      <t>샷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잔금</t>
    </r>
    <r>
      <rPr>
        <sz val="11"/>
        <color theme="1"/>
        <rFont val="Calibri"/>
        <family val="2"/>
      </rPr>
      <t xml:space="preserve"> 300,000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</rPr>
      <t>), C260028(</t>
    </r>
    <r>
      <rPr>
        <sz val="11"/>
        <color theme="1"/>
        <rFont val="맑은 고딕"/>
        <family val="2"/>
        <charset val="129"/>
      </rPr>
      <t>써마지</t>
    </r>
    <r>
      <rPr>
        <sz val="11"/>
        <color theme="1"/>
        <rFont val="Calibri"/>
        <family val="2"/>
      </rPr>
      <t xml:space="preserve"> 600</t>
    </r>
    <r>
      <rPr>
        <sz val="11"/>
        <color theme="1"/>
        <rFont val="맑은 고딕"/>
        <family val="2"/>
        <charset val="129"/>
      </rPr>
      <t>샷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잔금</t>
    </r>
    <r>
      <rPr>
        <sz val="11"/>
        <color theme="1"/>
        <rFont val="Calibri"/>
        <family val="2"/>
      </rPr>
      <t xml:space="preserve"> 500,000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</rPr>
      <t xml:space="preserve">)
• </t>
    </r>
    <r>
      <rPr>
        <sz val="11"/>
        <color theme="1"/>
        <rFont val="맑은 고딕"/>
        <family val="2"/>
        <charset val="129"/>
      </rPr>
      <t>고단가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편중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2"/>
        <charset val="129"/>
      </rPr>
      <t>울쎄라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써마지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고단가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프리미엄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리프팅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수요가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인스타그램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채널에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집중되는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경향을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보입니다</t>
    </r>
    <r>
      <rPr>
        <sz val="11"/>
        <color theme="1"/>
        <rFont val="Calibri"/>
        <family val="2"/>
      </rPr>
      <t xml:space="preserve">.
• </t>
    </r>
    <r>
      <rPr>
        <sz val="11"/>
        <color theme="1"/>
        <rFont val="맑은 고딕"/>
        <family val="2"/>
        <charset val="129"/>
      </rPr>
      <t>실행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제언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2"/>
        <charset val="129"/>
      </rPr>
      <t>고단가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예약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예약금</t>
    </r>
    <r>
      <rPr>
        <sz val="11"/>
        <color theme="1"/>
        <rFont val="Calibri"/>
        <family val="2"/>
      </rPr>
      <t xml:space="preserve">(Deposit) </t>
    </r>
    <r>
      <rPr>
        <sz val="11"/>
        <color theme="1"/>
        <rFont val="맑은 고딕"/>
        <family val="2"/>
        <charset val="129"/>
      </rPr>
      <t>결제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프로토콜을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도입하고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시술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당일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수납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완납을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원칙으로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설정하여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미수금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선제적으로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차단해야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합니다</t>
    </r>
    <r>
      <rPr>
        <sz val="11"/>
        <color theme="1"/>
        <rFont val="Calibri"/>
        <family val="2"/>
      </rPr>
      <t>.</t>
    </r>
    <phoneticPr fontId="29" type="noConversion"/>
  </si>
  <si>
    <r>
      <t xml:space="preserve">2. </t>
    </r>
    <r>
      <rPr>
        <sz val="11"/>
        <color theme="1"/>
        <rFont val="맑은 고딕"/>
        <family val="2"/>
        <charset val="129"/>
      </rPr>
      <t>카카오톡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채널의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뛰어난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진료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이행도와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고객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락인</t>
    </r>
    <r>
      <rPr>
        <sz val="11"/>
        <color theme="1"/>
        <rFont val="Calibri"/>
        <family val="2"/>
        <scheme val="minor"/>
      </rPr>
      <t xml:space="preserve">(Lock-in) </t>
    </r>
    <r>
      <rPr>
        <sz val="11"/>
        <color theme="1"/>
        <rFont val="맑은 고딕"/>
        <family val="2"/>
        <charset val="129"/>
      </rPr>
      <t xml:space="preserve">효과
</t>
    </r>
    <r>
      <rPr>
        <sz val="11"/>
        <color theme="1"/>
        <rFont val="Calibri"/>
        <family val="2"/>
        <scheme val="minor"/>
      </rPr>
      <t xml:space="preserve">
• </t>
    </r>
    <r>
      <rPr>
        <sz val="11"/>
        <color theme="1"/>
        <rFont val="맑은 고딕"/>
        <family val="2"/>
        <charset val="129"/>
      </rPr>
      <t>이탈률</t>
    </r>
    <r>
      <rPr>
        <sz val="11"/>
        <color theme="1"/>
        <rFont val="Calibri"/>
        <family val="2"/>
        <scheme val="minor"/>
      </rPr>
      <t xml:space="preserve"> 0% (</t>
    </r>
    <r>
      <rPr>
        <sz val="11"/>
        <color theme="1"/>
        <rFont val="맑은 고딕"/>
        <family val="2"/>
        <charset val="129"/>
      </rPr>
      <t>완수율</t>
    </r>
    <r>
      <rPr>
        <sz val="11"/>
        <color theme="1"/>
        <rFont val="Calibri"/>
        <family val="2"/>
        <scheme val="minor"/>
      </rPr>
      <t xml:space="preserve"> 100%): </t>
    </r>
    <r>
      <rPr>
        <sz val="11"/>
        <color theme="1"/>
        <rFont val="맑은 고딕"/>
        <family val="2"/>
        <charset val="129"/>
      </rPr>
      <t>카카오톡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유입은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총</t>
    </r>
    <r>
      <rPr>
        <sz val="11"/>
        <color theme="1"/>
        <rFont val="Calibri"/>
        <family val="2"/>
        <scheme val="minor"/>
      </rPr>
      <t xml:space="preserve"> 9</t>
    </r>
    <r>
      <rPr>
        <sz val="11"/>
        <color theme="1"/>
        <rFont val="맑은 고딕"/>
        <family val="2"/>
        <charset val="129"/>
      </rPr>
      <t>건의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예약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노쇼나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예약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취소가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단</t>
    </r>
    <r>
      <rPr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맑은 고딕"/>
        <family val="2"/>
        <charset val="129"/>
      </rPr>
      <t>건도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발생하지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않고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전건</t>
    </r>
    <r>
      <rPr>
        <sz val="11"/>
        <color theme="1"/>
        <rFont val="Calibri"/>
        <family val="2"/>
        <scheme val="minor"/>
      </rPr>
      <t>(9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맑은 고딕"/>
        <family val="2"/>
        <charset val="129"/>
      </rPr>
      <t>진료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완료되었습니다</t>
    </r>
    <r>
      <rPr>
        <sz val="11"/>
        <color theme="1"/>
        <rFont val="Calibri"/>
        <family val="2"/>
        <scheme val="minor"/>
      </rPr>
      <t xml:space="preserve">.
• </t>
    </r>
    <r>
      <rPr>
        <sz val="11"/>
        <color theme="1"/>
        <rFont val="맑은 고딕"/>
        <family val="2"/>
        <charset val="129"/>
      </rPr>
      <t>안정적인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수납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무결성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맑은 고딕"/>
        <family val="2"/>
        <charset val="129"/>
      </rPr>
      <t>총</t>
    </r>
    <r>
      <rPr>
        <sz val="11"/>
        <color theme="1"/>
        <rFont val="Calibri"/>
        <family val="2"/>
        <scheme val="minor"/>
      </rPr>
      <t xml:space="preserve"> 2,645,000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매출의</t>
    </r>
    <r>
      <rPr>
        <sz val="11"/>
        <color theme="1"/>
        <rFont val="Calibri"/>
        <family val="2"/>
        <scheme val="minor"/>
      </rPr>
      <t xml:space="preserve"> 19.2%)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매출을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올렸으며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미수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잔금은</t>
    </r>
    <r>
      <rPr>
        <sz val="11"/>
        <color theme="1"/>
        <rFont val="Calibri"/>
        <family val="2"/>
        <scheme val="minor"/>
      </rPr>
      <t xml:space="preserve"> 50,000</t>
    </r>
    <r>
      <rPr>
        <sz val="11"/>
        <color theme="1"/>
        <rFont val="맑은 고딕"/>
        <family val="2"/>
        <charset val="129"/>
      </rPr>
      <t>원에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불과해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안정적인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수납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흐름을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보여줍니다</t>
    </r>
    <r>
      <rPr>
        <sz val="11"/>
        <color theme="1"/>
        <rFont val="Calibri"/>
        <family val="2"/>
        <scheme val="minor"/>
      </rPr>
      <t xml:space="preserve">.
• </t>
    </r>
    <r>
      <rPr>
        <sz val="11"/>
        <color theme="1"/>
        <rFont val="맑은 고딕"/>
        <family val="2"/>
        <charset val="129"/>
      </rPr>
      <t>대표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>: C250011(</t>
    </r>
    <r>
      <rPr>
        <sz val="11"/>
        <color theme="1"/>
        <rFont val="맑은 고딕"/>
        <family val="2"/>
        <charset val="129"/>
      </rPr>
      <t>피코토닝</t>
    </r>
    <r>
      <rPr>
        <sz val="11"/>
        <color theme="1"/>
        <rFont val="Calibri"/>
        <family val="2"/>
        <scheme val="minor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  <scheme val="minor"/>
      </rPr>
      <t>, 850,000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>), C260023(</t>
    </r>
    <r>
      <rPr>
        <sz val="11"/>
        <color theme="1"/>
        <rFont val="맑은 고딕"/>
        <family val="2"/>
        <charset val="129"/>
      </rPr>
      <t>피코토닝</t>
    </r>
    <r>
      <rPr>
        <sz val="11"/>
        <color theme="1"/>
        <rFont val="Calibri"/>
        <family val="2"/>
        <scheme val="minor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  <scheme val="minor"/>
      </rPr>
      <t>, 850,000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맑은 고딕"/>
        <family val="2"/>
        <charset val="129"/>
      </rPr>
      <t>등</t>
    </r>
    <r>
      <rPr>
        <sz val="11"/>
        <color theme="1"/>
        <rFont val="Calibri"/>
        <family val="2"/>
        <scheme val="minor"/>
      </rPr>
      <t xml:space="preserve"> 9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
• </t>
    </r>
    <r>
      <rPr>
        <sz val="11"/>
        <color theme="1"/>
        <rFont val="맑은 고딕"/>
        <family val="2"/>
        <charset val="129"/>
      </rPr>
      <t>실행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제언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맑은 고딕"/>
        <family val="2"/>
        <charset val="129"/>
      </rPr>
      <t>진료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이행도와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신뢰도가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검증된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카카오톡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고객을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대상으로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주기적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재방문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리텐션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지인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추천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프로모션을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연계하여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충성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고객층으로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확고히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락인할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권장합니다</t>
    </r>
    <r>
      <rPr>
        <sz val="11"/>
        <color theme="1"/>
        <rFont val="Calibri"/>
        <family val="2"/>
        <scheme val="minor"/>
      </rPr>
      <t xml:space="preserve">.
3. </t>
    </r>
    <r>
      <rPr>
        <sz val="11"/>
        <color theme="1"/>
        <rFont val="맑은 고딕"/>
        <family val="2"/>
        <charset val="129"/>
      </rPr>
      <t>네이버검색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당근마켓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채널의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높은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이탈률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개선과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스케줄링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최적화</t>
    </r>
    <r>
      <rPr>
        <sz val="11"/>
        <color theme="1"/>
        <rFont val="Calibri"/>
        <family val="2"/>
        <scheme val="minor"/>
      </rPr>
      <t xml:space="preserve">
• </t>
    </r>
    <r>
      <rPr>
        <sz val="11"/>
        <color theme="1"/>
        <rFont val="맑은 고딕"/>
        <family val="2"/>
        <charset val="129"/>
      </rPr>
      <t>높은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노쇼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취소율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맑은 고딕"/>
        <family val="2"/>
        <charset val="129"/>
      </rPr>
      <t>네이버검색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유입은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총</t>
    </r>
    <r>
      <rPr>
        <sz val="11"/>
        <color theme="1"/>
        <rFont val="Calibri"/>
        <family val="2"/>
        <scheme val="minor"/>
      </rPr>
      <t xml:space="preserve"> 7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  <scheme val="minor"/>
      </rPr>
      <t xml:space="preserve"> 4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노쇼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취소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이탈률</t>
    </r>
    <r>
      <rPr>
        <sz val="11"/>
        <color theme="1"/>
        <rFont val="Calibri"/>
        <family val="2"/>
        <scheme val="minor"/>
      </rPr>
      <t xml:space="preserve"> 57.1%), </t>
    </r>
    <r>
      <rPr>
        <sz val="11"/>
        <color theme="1"/>
        <rFont val="맑은 고딕"/>
        <family val="2"/>
        <charset val="129"/>
      </rPr>
      <t>당근마켓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유입은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총</t>
    </r>
    <r>
      <rPr>
        <sz val="11"/>
        <color theme="1"/>
        <rFont val="Calibri"/>
        <family val="2"/>
        <scheme val="minor"/>
      </rPr>
      <t xml:space="preserve"> 5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노쇼</t>
    </r>
    <r>
      <rPr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취소</t>
    </r>
    <r>
      <rPr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이탈률</t>
    </r>
    <r>
      <rPr>
        <sz val="11"/>
        <color theme="1"/>
        <rFont val="Calibri"/>
        <family val="2"/>
        <scheme val="minor"/>
      </rPr>
      <t xml:space="preserve"> 40.0%)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이탈이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발생했습니다</t>
    </r>
    <r>
      <rPr>
        <sz val="11"/>
        <color theme="1"/>
        <rFont val="Calibri"/>
        <family val="2"/>
        <scheme val="minor"/>
      </rPr>
      <t xml:space="preserve">.
• </t>
    </r>
    <r>
      <rPr>
        <sz val="11"/>
        <color theme="1"/>
        <rFont val="맑은 고딕"/>
        <family val="2"/>
        <charset val="129"/>
      </rPr>
      <t>진료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공백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채널에서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발생한</t>
    </r>
    <r>
      <rPr>
        <sz val="11"/>
        <color theme="1"/>
        <rFont val="Calibri"/>
        <family val="2"/>
        <scheme val="minor"/>
      </rPr>
      <t xml:space="preserve"> 6</t>
    </r>
    <r>
      <rPr>
        <sz val="11"/>
        <color theme="1"/>
        <rFont val="맑은 고딕"/>
        <family val="2"/>
        <charset val="129"/>
      </rPr>
      <t>건의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이탈은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노쇼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맑은 고딕"/>
        <family val="2"/>
        <charset val="129"/>
      </rPr>
      <t>취소</t>
    </r>
    <r>
      <rPr>
        <sz val="11"/>
        <color theme="1"/>
        <rFont val="Calibri"/>
        <family val="2"/>
        <scheme val="minor"/>
      </rPr>
      <t>(13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Calibri"/>
        <family val="2"/>
        <scheme val="minor"/>
      </rPr>
      <t xml:space="preserve"> **46.2%**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차지하여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병원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원장단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상담원의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운영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리소스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손실을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초과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발생시키고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있습니다</t>
    </r>
    <r>
      <rPr>
        <sz val="11"/>
        <color theme="1"/>
        <rFont val="Calibri"/>
        <family val="2"/>
        <scheme val="minor"/>
      </rPr>
      <t xml:space="preserve">.
• </t>
    </r>
    <r>
      <rPr>
        <sz val="11"/>
        <color theme="1"/>
        <rFont val="맑은 고딕"/>
        <family val="2"/>
        <charset val="129"/>
      </rPr>
      <t>실행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제언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맑은 고딕"/>
        <family val="2"/>
        <charset val="129"/>
      </rPr>
      <t>예약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전일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맑은 고딕"/>
        <family val="2"/>
        <charset val="129"/>
      </rPr>
      <t>당일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카카오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알림톡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자동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시스템을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의무화하고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노쇼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가능성이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높은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채널은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당일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대기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환자를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순서대로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배정하는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스케줄링을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도입할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필요가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있습니다</t>
    </r>
    <r>
      <rPr>
        <sz val="11"/>
        <color theme="1"/>
        <rFont val="Calibri"/>
        <family val="2"/>
        <scheme val="minor"/>
      </rPr>
      <t xml:space="preserve">.
</t>
    </r>
    <r>
      <rPr>
        <sz val="11"/>
        <color theme="1"/>
        <rFont val="Segoe UI Symbol"/>
        <family val="2"/>
      </rPr>
      <t>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매출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추이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항목별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</t>
    </r>
    <r>
      <rPr>
        <sz val="11"/>
        <color theme="1"/>
        <rFont val="Calibri"/>
        <family val="2"/>
        <scheme val="minor"/>
      </rPr>
      <t xml:space="preserve">
• </t>
    </r>
    <r>
      <rPr>
        <sz val="11"/>
        <color theme="1"/>
        <rFont val="맑은 고딕"/>
        <family val="2"/>
        <charset val="129"/>
      </rPr>
      <t>일자별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매출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추이</t>
    </r>
    <r>
      <rPr>
        <sz val="11"/>
        <color theme="1"/>
        <rFont val="Calibri"/>
        <family val="2"/>
        <scheme val="minor"/>
      </rPr>
      <t>: '</t>
    </r>
    <r>
      <rPr>
        <sz val="11"/>
        <color theme="1"/>
        <rFont val="맑은 고딕"/>
        <family val="2"/>
        <charset val="129"/>
      </rPr>
      <t>일자별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매출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추이</t>
    </r>
    <r>
      <rPr>
        <sz val="11"/>
        <color theme="1"/>
        <rFont val="Calibri"/>
        <family val="2"/>
        <scheme val="minor"/>
      </rPr>
      <t xml:space="preserve"> (2026-10-15 ~ 10-18)' </t>
    </r>
    <r>
      <rPr>
        <sz val="11"/>
        <color theme="1"/>
        <rFont val="맑은 고딕"/>
        <family val="2"/>
        <charset val="129"/>
      </rPr>
      <t>차트에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나타나듯</t>
    </r>
    <r>
      <rPr>
        <sz val="11"/>
        <color theme="1"/>
        <rFont val="Calibri"/>
        <family val="2"/>
        <scheme val="minor"/>
      </rPr>
      <t>, 10</t>
    </r>
    <r>
      <rPr>
        <sz val="11"/>
        <color theme="1"/>
        <rFont val="맑은 고딕"/>
        <family val="2"/>
        <charset val="129"/>
      </rPr>
      <t>월</t>
    </r>
    <r>
      <rPr>
        <sz val="11"/>
        <color theme="1"/>
        <rFont val="Calibri"/>
        <family val="2"/>
        <scheme val="minor"/>
      </rPr>
      <t xml:space="preserve"> 17</t>
    </r>
    <r>
      <rPr>
        <sz val="11"/>
        <color theme="1"/>
        <rFont val="맑은 고딕"/>
        <family val="2"/>
        <charset val="129"/>
      </rPr>
      <t>일에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수납금액</t>
    </r>
    <r>
      <rPr>
        <sz val="11"/>
        <color theme="1"/>
        <rFont val="Calibri"/>
        <family val="2"/>
        <scheme val="minor"/>
      </rPr>
      <t xml:space="preserve"> 7,520,000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진료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 xml:space="preserve"> 12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맑은 고딕"/>
        <family val="2"/>
        <charset val="129"/>
      </rPr>
      <t>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주말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최고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매출을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달성했습니다</t>
    </r>
    <r>
      <rPr>
        <sz val="11"/>
        <color theme="1"/>
        <rFont val="Calibri"/>
        <family val="2"/>
        <scheme val="minor"/>
      </rPr>
      <t>.
  • 10</t>
    </r>
    <r>
      <rPr>
        <sz val="11"/>
        <color theme="1"/>
        <rFont val="맑은 고딕"/>
        <family val="2"/>
        <charset val="129"/>
      </rPr>
      <t>월</t>
    </r>
    <r>
      <rPr>
        <sz val="11"/>
        <color theme="1"/>
        <rFont val="Calibri"/>
        <family val="2"/>
        <scheme val="minor"/>
      </rPr>
      <t xml:space="preserve"> 15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Calibri"/>
        <family val="2"/>
        <scheme val="minor"/>
      </rPr>
      <t>: 2,934,000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 xml:space="preserve"> (11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>)
  • 10</t>
    </r>
    <r>
      <rPr>
        <sz val="11"/>
        <color theme="1"/>
        <rFont val="맑은 고딕"/>
        <family val="2"/>
        <charset val="129"/>
      </rPr>
      <t>월</t>
    </r>
    <r>
      <rPr>
        <sz val="11"/>
        <color theme="1"/>
        <rFont val="Calibri"/>
        <family val="2"/>
        <scheme val="minor"/>
      </rPr>
      <t xml:space="preserve"> 16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Calibri"/>
        <family val="2"/>
        <scheme val="minor"/>
      </rPr>
      <t>: 3,255,000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 xml:space="preserve"> (9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>)
  • 10</t>
    </r>
    <r>
      <rPr>
        <sz val="11"/>
        <color theme="1"/>
        <rFont val="맑은 고딕"/>
        <family val="2"/>
        <charset val="129"/>
      </rPr>
      <t>월</t>
    </r>
    <r>
      <rPr>
        <sz val="11"/>
        <color theme="1"/>
        <rFont val="Calibri"/>
        <family val="2"/>
        <scheme val="minor"/>
      </rPr>
      <t xml:space="preserve"> 17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Calibri"/>
        <family val="2"/>
        <scheme val="minor"/>
      </rPr>
      <t>: 7,520,000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 xml:space="preserve"> (12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>)
  • 10</t>
    </r>
    <r>
      <rPr>
        <sz val="11"/>
        <color theme="1"/>
        <rFont val="맑은 고딕"/>
        <family val="2"/>
        <charset val="129"/>
      </rPr>
      <t>월</t>
    </r>
    <r>
      <rPr>
        <sz val="11"/>
        <color theme="1"/>
        <rFont val="Calibri"/>
        <family val="2"/>
        <scheme val="minor"/>
      </rPr>
      <t xml:space="preserve"> 18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Calibri"/>
        <family val="2"/>
        <scheme val="minor"/>
      </rPr>
      <t>: 95,000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 xml:space="preserve"> (2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 xml:space="preserve">)
• </t>
    </r>
    <r>
      <rPr>
        <sz val="11"/>
        <color theme="1"/>
        <rFont val="맑은 고딕"/>
        <family val="2"/>
        <charset val="129"/>
      </rPr>
      <t>주요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항목별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매출</t>
    </r>
    <r>
      <rPr>
        <sz val="11"/>
        <color theme="1"/>
        <rFont val="Calibri"/>
        <family val="2"/>
        <scheme val="minor"/>
      </rPr>
      <t xml:space="preserve"> TOP 5: '</t>
    </r>
    <r>
      <rPr>
        <sz val="11"/>
        <color theme="1"/>
        <rFont val="맑은 고딕"/>
        <family val="2"/>
        <charset val="129"/>
      </rPr>
      <t>주요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항목별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매출</t>
    </r>
    <r>
      <rPr>
        <sz val="11"/>
        <color theme="1"/>
        <rFont val="Calibri"/>
        <family val="2"/>
        <scheme val="minor"/>
      </rPr>
      <t xml:space="preserve"> TOP 5' </t>
    </r>
    <r>
      <rPr>
        <sz val="11"/>
        <color theme="1"/>
        <rFont val="맑은 고딕"/>
        <family val="2"/>
        <charset val="129"/>
      </rPr>
      <t>차트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기준으로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고단가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리프팅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피부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개선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시술이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매출을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선도하고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있습니다</t>
    </r>
    <r>
      <rPr>
        <sz val="11"/>
        <color theme="1"/>
        <rFont val="Calibri"/>
        <family val="2"/>
        <scheme val="minor"/>
      </rPr>
      <t xml:space="preserve">.
  1. </t>
    </r>
    <r>
      <rPr>
        <sz val="11"/>
        <color theme="1"/>
        <rFont val="맑은 고딕"/>
        <family val="2"/>
        <charset val="129"/>
      </rPr>
      <t>울쎄라</t>
    </r>
    <r>
      <rPr>
        <sz val="11"/>
        <color theme="1"/>
        <rFont val="Calibri"/>
        <family val="2"/>
        <scheme val="minor"/>
      </rPr>
      <t xml:space="preserve"> 300</t>
    </r>
    <r>
      <rPr>
        <sz val="11"/>
        <color theme="1"/>
        <rFont val="맑은 고딕"/>
        <family val="2"/>
        <charset val="129"/>
      </rPr>
      <t>샷</t>
    </r>
    <r>
      <rPr>
        <sz val="11"/>
        <color theme="1"/>
        <rFont val="Calibri"/>
        <family val="2"/>
        <scheme val="minor"/>
      </rPr>
      <t>: 3,600,000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 xml:space="preserve"> (3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 xml:space="preserve"> - C250014, C260027, C260030)
  2. </t>
    </r>
    <r>
      <rPr>
        <sz val="11"/>
        <color theme="1"/>
        <rFont val="맑은 고딕"/>
        <family val="2"/>
        <charset val="129"/>
      </rPr>
      <t>써마지</t>
    </r>
    <r>
      <rPr>
        <sz val="11"/>
        <color theme="1"/>
        <rFont val="Calibri"/>
        <family val="2"/>
        <scheme val="minor"/>
      </rPr>
      <t xml:space="preserve"> 600</t>
    </r>
    <r>
      <rPr>
        <sz val="11"/>
        <color theme="1"/>
        <rFont val="맑은 고딕"/>
        <family val="2"/>
        <charset val="129"/>
      </rPr>
      <t>샷</t>
    </r>
    <r>
      <rPr>
        <sz val="11"/>
        <color theme="1"/>
        <rFont val="Calibri"/>
        <family val="2"/>
        <scheme val="minor"/>
      </rPr>
      <t>: 2,500,000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 xml:space="preserve"> (2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 xml:space="preserve"> - C260028, C260029)
  3. </t>
    </r>
    <r>
      <rPr>
        <sz val="11"/>
        <color theme="1"/>
        <rFont val="맑은 고딕"/>
        <family val="2"/>
        <charset val="129"/>
      </rPr>
      <t>울쎄라</t>
    </r>
    <r>
      <rPr>
        <sz val="11"/>
        <color theme="1"/>
        <rFont val="Calibri"/>
        <family val="2"/>
        <scheme val="minor"/>
      </rPr>
      <t xml:space="preserve"> 600</t>
    </r>
    <r>
      <rPr>
        <sz val="11"/>
        <color theme="1"/>
        <rFont val="맑은 고딕"/>
        <family val="2"/>
        <charset val="129"/>
      </rPr>
      <t>샷</t>
    </r>
    <r>
      <rPr>
        <sz val="11"/>
        <color theme="1"/>
        <rFont val="Calibri"/>
        <family val="2"/>
        <scheme val="minor"/>
      </rPr>
      <t>: 2,200,000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 xml:space="preserve"> (1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 xml:space="preserve"> - C250020)
  4. </t>
    </r>
    <r>
      <rPr>
        <sz val="11"/>
        <color theme="1"/>
        <rFont val="맑은 고딕"/>
        <family val="2"/>
        <charset val="129"/>
      </rPr>
      <t>피코토닝</t>
    </r>
    <r>
      <rPr>
        <sz val="11"/>
        <color theme="1"/>
        <rFont val="Calibri"/>
        <family val="2"/>
        <scheme val="minor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  <scheme val="minor"/>
      </rPr>
      <t>: 1,700,000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 xml:space="preserve"> (2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 xml:space="preserve"> - C250011, C260023)
  5. </t>
    </r>
    <r>
      <rPr>
        <sz val="11"/>
        <color theme="1"/>
        <rFont val="맑은 고딕"/>
        <family val="2"/>
        <charset val="129"/>
      </rPr>
      <t>쥬베룩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볼륨</t>
    </r>
    <r>
      <rPr>
        <sz val="11"/>
        <color theme="1"/>
        <rFont val="Calibri"/>
        <family val="2"/>
        <scheme val="minor"/>
      </rPr>
      <t>: 900,000</t>
    </r>
    <r>
      <rPr>
        <sz val="11"/>
        <color theme="1"/>
        <rFont val="맑은 고딕"/>
        <family val="2"/>
        <charset val="129"/>
      </rPr>
      <t>원</t>
    </r>
    <r>
      <rPr>
        <sz val="11"/>
        <color theme="1"/>
        <rFont val="Calibri"/>
        <family val="2"/>
        <scheme val="minor"/>
      </rPr>
      <t xml:space="preserve"> (2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  <scheme val="minor"/>
      </rPr>
      <t xml:space="preserve"> - C260024, C260025)</t>
    </r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</si>
</sst>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#,##0&quot;건&quot;"/>
    <numFmt numFmtId="177" formatCode="0.0%"/>
    <numFmt numFmtId="178" formatCode="#,##0&quot;원&quot;"/>
    <numFmt numFmtId="179" formatCode="yyyy\-mm\-dd"/>
    <numFmt numFmtId="180" formatCode="yyyy\.\ m\.\ d"/>
  </numFmts>
  <fonts count="34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5"/>
      <color rgb="FF1A1B20"/>
      <name val="Calibri"/>
      <scheme val="minor"/>
    </font>
    <font>
      <i/>
      <sz val="10"/>
      <color rgb="FF767680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Malgun Gothic"/>
      <family val="3"/>
      <charset val="129"/>
    </font>
    <font>
      <b/>
      <sz val="12"/>
      <color theme="1"/>
      <name val="Calibri"/>
      <scheme val="minor"/>
    </font>
    <font>
      <b/>
      <sz val="9"/>
      <color theme="1"/>
      <name val="Calibri"/>
      <scheme val="minor"/>
    </font>
    <font>
      <u/>
      <sz val="11"/>
      <color rgb="FF0563C1"/>
      <name val="Malgun Gothic"/>
      <family val="3"/>
      <charset val="129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onsolas"/>
    </font>
    <font>
      <sz val="11"/>
      <color theme="1"/>
      <name val="Consolas"/>
    </font>
    <font>
      <sz val="9"/>
      <color theme="1"/>
      <name val="Consolas"/>
    </font>
    <font>
      <b/>
      <sz val="11"/>
      <color theme="1"/>
      <name val="Calibri"/>
      <scheme val="minor"/>
    </font>
    <font>
      <sz val="10"/>
      <color rgb="FFF2F2F9"/>
      <name val="Consolas"/>
    </font>
    <font>
      <sz val="10"/>
      <color theme="1"/>
      <name val="Consolas"/>
    </font>
    <font>
      <sz val="10"/>
      <color theme="1"/>
      <name val="Calibri"/>
      <scheme val="minor"/>
    </font>
    <font>
      <b/>
      <sz val="16"/>
      <color theme="1"/>
      <name val="Malgun Gothic"/>
      <family val="3"/>
      <charset val="129"/>
    </font>
    <font>
      <sz val="11"/>
      <name val="Calibri"/>
    </font>
    <font>
      <b/>
      <sz val="14"/>
      <color rgb="FF2C3E5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Segoe UI Emoji"/>
    </font>
    <font>
      <b/>
      <sz val="11"/>
      <color theme="1"/>
      <name val="맑은 고딕"/>
      <family val="3"/>
      <charset val="129"/>
    </font>
    <font>
      <b/>
      <sz val="12"/>
      <color theme="1"/>
      <name val="Segoe UI Emoji"/>
    </font>
    <font>
      <b/>
      <sz val="12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sz val="11"/>
      <color theme="1"/>
      <name val="Segoe UI Symbo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EE0F8"/>
        <bgColor rgb="FFDEE0F8"/>
      </patternFill>
    </fill>
    <fill>
      <patternFill patternType="solid">
        <fgColor rgb="FF4B5C92"/>
        <bgColor rgb="FF4B5C92"/>
      </patternFill>
    </fill>
    <fill>
      <patternFill patternType="solid">
        <fgColor rgb="FFEDECF4"/>
        <bgColor rgb="FFEDECF4"/>
      </patternFill>
    </fill>
    <fill>
      <patternFill patternType="solid">
        <fgColor rgb="FFF9F8FF"/>
        <bgColor rgb="FFF9F8FF"/>
      </patternFill>
    </fill>
    <fill>
      <patternFill patternType="solid">
        <fgColor rgb="FF2A2F41"/>
        <bgColor rgb="FF2A2F41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333333"/>
        <bgColor rgb="FF333333"/>
      </patternFill>
    </fill>
  </fills>
  <borders count="24">
    <border>
      <left/>
      <right/>
      <top/>
      <bottom/>
      <diagonal/>
    </border>
    <border>
      <left style="thin">
        <color rgb="FFCCCCD8"/>
      </left>
      <right style="thin">
        <color rgb="FFCCCCD8"/>
      </right>
      <top style="thin">
        <color rgb="FFCCCCD8"/>
      </top>
      <bottom style="thin">
        <color rgb="FFCCCCD8"/>
      </bottom>
      <diagonal/>
    </border>
    <border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  <diagonal/>
    </border>
    <border>
      <left/>
      <right/>
      <top style="thin">
        <color rgb="FF767680"/>
      </top>
      <bottom style="double">
        <color rgb="FF767680"/>
      </bottom>
      <diagonal/>
    </border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/>
      <diagonal/>
    </border>
    <border>
      <left style="thin">
        <color rgb="FFCCCCCC"/>
      </left>
      <right style="thin">
        <color rgb="FFCCCCCC"/>
      </right>
      <top style="medium">
        <color rgb="FF000000"/>
      </top>
      <bottom/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76" fontId="15" fillId="5" borderId="1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177" fontId="15" fillId="5" borderId="1" xfId="0" applyNumberFormat="1" applyFont="1" applyFill="1" applyBorder="1" applyAlignment="1">
      <alignment horizontal="right" vertical="center"/>
    </xf>
    <xf numFmtId="178" fontId="15" fillId="5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0" fontId="14" fillId="5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7" fillId="5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179" fontId="2" fillId="0" borderId="0" xfId="0" applyNumberFormat="1" applyFont="1" applyAlignment="1">
      <alignment vertical="center"/>
    </xf>
    <xf numFmtId="21" fontId="2" fillId="0" borderId="0" xfId="0" applyNumberFormat="1" applyFont="1" applyAlignment="1">
      <alignment vertical="center"/>
    </xf>
    <xf numFmtId="179" fontId="5" fillId="0" borderId="0" xfId="0" applyNumberFormat="1" applyFont="1" applyAlignment="1">
      <alignment vertical="center"/>
    </xf>
    <xf numFmtId="0" fontId="11" fillId="4" borderId="3" xfId="0" applyFont="1" applyFill="1" applyBorder="1" applyAlignment="1">
      <alignment vertical="center"/>
    </xf>
    <xf numFmtId="176" fontId="11" fillId="4" borderId="3" xfId="0" applyNumberFormat="1" applyFont="1" applyFill="1" applyBorder="1" applyAlignment="1">
      <alignment horizontal="right" vertical="center"/>
    </xf>
    <xf numFmtId="177" fontId="11" fillId="4" borderId="3" xfId="0" applyNumberFormat="1" applyFont="1" applyFill="1" applyBorder="1" applyAlignment="1">
      <alignment horizontal="right" vertical="center"/>
    </xf>
    <xf numFmtId="178" fontId="11" fillId="4" borderId="3" xfId="0" applyNumberFormat="1" applyFont="1" applyFill="1" applyBorder="1" applyAlignment="1">
      <alignment horizontal="right" vertical="center"/>
    </xf>
    <xf numFmtId="0" fontId="2" fillId="7" borderId="4" xfId="0" applyFont="1" applyFill="1" applyBorder="1" applyAlignment="1">
      <alignment vertical="center"/>
    </xf>
    <xf numFmtId="0" fontId="2" fillId="0" borderId="0" xfId="0" applyFont="1"/>
    <xf numFmtId="0" fontId="22" fillId="0" borderId="0" xfId="0" applyFont="1"/>
    <xf numFmtId="0" fontId="23" fillId="9" borderId="8" xfId="0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3" fontId="2" fillId="0" borderId="12" xfId="0" applyNumberFormat="1" applyFont="1" applyBorder="1"/>
    <xf numFmtId="3" fontId="2" fillId="0" borderId="13" xfId="0" applyNumberFormat="1" applyFont="1" applyBorder="1"/>
    <xf numFmtId="0" fontId="2" fillId="0" borderId="14" xfId="0" applyFont="1" applyBorder="1"/>
    <xf numFmtId="0" fontId="2" fillId="0" borderId="15" xfId="0" applyFont="1" applyBorder="1"/>
    <xf numFmtId="3" fontId="2" fillId="0" borderId="15" xfId="0" applyNumberFormat="1" applyFont="1" applyBorder="1"/>
    <xf numFmtId="3" fontId="2" fillId="0" borderId="16" xfId="0" applyNumberFormat="1" applyFont="1" applyBorder="1"/>
    <xf numFmtId="0" fontId="1" fillId="0" borderId="17" xfId="0" applyFont="1" applyBorder="1"/>
    <xf numFmtId="0" fontId="1" fillId="0" borderId="18" xfId="0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0" fontId="1" fillId="0" borderId="14" xfId="0" applyFont="1" applyBorder="1"/>
    <xf numFmtId="0" fontId="1" fillId="0" borderId="15" xfId="0" applyFont="1" applyBorder="1"/>
    <xf numFmtId="3" fontId="1" fillId="0" borderId="15" xfId="0" applyNumberFormat="1" applyFont="1" applyBorder="1"/>
    <xf numFmtId="3" fontId="1" fillId="0" borderId="16" xfId="0" applyNumberFormat="1" applyFont="1" applyBorder="1"/>
    <xf numFmtId="0" fontId="5" fillId="0" borderId="0" xfId="0" applyFont="1" applyAlignment="1">
      <alignment horizontal="left" vertical="center"/>
    </xf>
    <xf numFmtId="180" fontId="5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3" fontId="1" fillId="0" borderId="20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vertical="center"/>
    </xf>
    <xf numFmtId="0" fontId="19" fillId="0" borderId="0" xfId="0" applyFont="1"/>
    <xf numFmtId="0" fontId="1" fillId="8" borderId="5" xfId="0" applyFont="1" applyFill="1" applyBorder="1" applyAlignment="1">
      <alignment horizontal="center" vertical="center"/>
    </xf>
    <xf numFmtId="0" fontId="20" fillId="0" borderId="7" xfId="0" applyFont="1" applyBorder="1" applyAlignment="1">
      <alignment vertical="center"/>
    </xf>
    <xf numFmtId="3" fontId="21" fillId="0" borderId="5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</cellXfs>
  <cellStyles count="1">
    <cellStyle name="표준" xfId="0" builtinId="0"/>
  </cellStyles>
  <dxfs count="12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일일매출지표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일일매출지표-style 2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일일매출지표-style 3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ko-KR" altLang="en-US" b="0">
                <a:solidFill>
                  <a:srgbClr val="444746"/>
                </a:solidFill>
                <a:latin typeface="+mn-lt"/>
              </a:rPr>
              <a:t>일자별 매출 추이 </a:t>
            </a:r>
            <a:r>
              <a:rPr lang="en-US" altLang="ko-KR" b="0">
                <a:solidFill>
                  <a:srgbClr val="444746"/>
                </a:solidFill>
                <a:latin typeface="+mn-lt"/>
              </a:rPr>
              <a:t>(2026-10-15 ~ 10-18)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일일매출지표!$F$36</c:f>
              <c:strCache>
                <c:ptCount val="1"/>
                <c:pt idx="0">
                  <c:v>수납금액</c:v>
                </c:pt>
              </c:strCache>
            </c:strRef>
          </c:tx>
          <c:spPr>
            <a:solidFill>
              <a:srgbClr val="3498DB"/>
            </a:solidFill>
            <a:ln cmpd="sng">
              <a:noFill/>
            </a:ln>
          </c:spPr>
          <c:invertIfNegative val="0"/>
          <c:cat>
            <c:numRef>
              <c:f>일일매출지표!$E$37:$E$40</c:f>
              <c:numCache>
                <c:formatCode>yyyy\.\ m\.\ d</c:formatCode>
                <c:ptCount val="4"/>
                <c:pt idx="0">
                  <c:v>46310</c:v>
                </c:pt>
                <c:pt idx="1">
                  <c:v>46311</c:v>
                </c:pt>
                <c:pt idx="2">
                  <c:v>46312</c:v>
                </c:pt>
                <c:pt idx="3">
                  <c:v>46313</c:v>
                </c:pt>
              </c:numCache>
            </c:numRef>
          </c:cat>
          <c:val>
            <c:numRef>
              <c:f>일일매출지표!$F$37:$F$40</c:f>
              <c:numCache>
                <c:formatCode>General</c:formatCode>
                <c:ptCount val="4"/>
                <c:pt idx="0">
                  <c:v>0</c:v>
                </c:pt>
                <c:pt idx="1">
                  <c:v>3255000</c:v>
                </c:pt>
                <c:pt idx="2">
                  <c:v>7520000</c:v>
                </c:pt>
                <c:pt idx="3">
                  <c:v>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4-48C9-B446-15B9E5E0E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102121"/>
        <c:axId val="2033260479"/>
      </c:barChart>
      <c:dateAx>
        <c:axId val="245102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ko-KR" altLang="en-US" b="0">
                    <a:solidFill>
                      <a:srgbClr val="000000"/>
                    </a:solidFill>
                    <a:latin typeface="+mn-lt"/>
                  </a:rPr>
                  <a:t>예약 일자</a:t>
                </a:r>
              </a:p>
            </c:rich>
          </c:tx>
          <c:overlay val="0"/>
        </c:title>
        <c:numFmt formatCode="yyyy\.\ m\.\ 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33260479"/>
        <c:crosses val="autoZero"/>
        <c:auto val="1"/>
        <c:lblOffset val="100"/>
        <c:baseTimeUnit val="days"/>
      </c:dateAx>
      <c:valAx>
        <c:axId val="2033260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ko-KR" altLang="en-US" b="0">
                    <a:solidFill>
                      <a:srgbClr val="000000"/>
                    </a:solidFill>
                    <a:latin typeface="+mn-lt"/>
                  </a:rPr>
                  <a:t>일일 수납금액 </a:t>
                </a:r>
                <a:r>
                  <a:rPr lang="en-US" altLang="ko-KR" b="0">
                    <a:solidFill>
                      <a:srgbClr val="000000"/>
                    </a:solidFill>
                    <a:latin typeface="+mn-lt"/>
                  </a:rPr>
                  <a:t>(</a:t>
                </a:r>
                <a:r>
                  <a:rPr lang="ko-KR" altLang="en-US" b="0">
                    <a:solidFill>
                      <a:srgbClr val="000000"/>
                    </a:solidFill>
                    <a:latin typeface="+mn-lt"/>
                  </a:rPr>
                  <a:t>원</a:t>
                </a:r>
                <a:r>
                  <a:rPr lang="en-US" altLang="ko-KR" b="0">
                    <a:solidFill>
                      <a:srgbClr val="000000"/>
                    </a:solidFill>
                    <a:latin typeface="+mn-lt"/>
                  </a:rPr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451021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ko-KR" altLang="en-US" b="0">
                <a:solidFill>
                  <a:srgbClr val="444746"/>
                </a:solidFill>
                <a:latin typeface="+mn-lt"/>
              </a:rPr>
              <a:t>주요 시술 항목별 매출 </a:t>
            </a:r>
            <a:r>
              <a:rPr lang="en-US" b="0">
                <a:solidFill>
                  <a:srgbClr val="444746"/>
                </a:solidFill>
                <a:latin typeface="+mn-lt"/>
              </a:rPr>
              <a:t>TOP 5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일일매출지표!$C$36</c:f>
              <c:strCache>
                <c:ptCount val="1"/>
                <c:pt idx="0">
                  <c:v>수납금액</c:v>
                </c:pt>
              </c:strCache>
            </c:strRef>
          </c:tx>
          <c:spPr>
            <a:solidFill>
              <a:srgbClr val="2ECC71"/>
            </a:solidFill>
            <a:ln cmpd="sng">
              <a:noFill/>
            </a:ln>
          </c:spPr>
          <c:invertIfNegative val="0"/>
          <c:cat>
            <c:strRef>
              <c:f>일일매출지표!$B$37:$B$41</c:f>
              <c:strCache>
                <c:ptCount val="5"/>
                <c:pt idx="0">
                  <c:v>써마지 600샷</c:v>
                </c:pt>
                <c:pt idx="1">
                  <c:v>울쎄라 300샷</c:v>
                </c:pt>
                <c:pt idx="2">
                  <c:v>울쎄라 600샷</c:v>
                </c:pt>
                <c:pt idx="3">
                  <c:v>쥬베룩 볼륨</c:v>
                </c:pt>
                <c:pt idx="4">
                  <c:v>피코토닝 10회</c:v>
                </c:pt>
              </c:strCache>
            </c:strRef>
          </c:cat>
          <c:val>
            <c:numRef>
              <c:f>일일매출지표!$C$37:$C$41</c:f>
              <c:numCache>
                <c:formatCode>General</c:formatCode>
                <c:ptCount val="5"/>
                <c:pt idx="0">
                  <c:v>2500000</c:v>
                </c:pt>
                <c:pt idx="1">
                  <c:v>3600000</c:v>
                </c:pt>
                <c:pt idx="2">
                  <c:v>2200000</c:v>
                </c:pt>
                <c:pt idx="3">
                  <c:v>900000</c:v>
                </c:pt>
                <c:pt idx="4">
                  <c:v>1700000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2-4866-9D06-F0122B7A4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1587935"/>
        <c:axId val="958061949"/>
      </c:barChart>
      <c:catAx>
        <c:axId val="18115879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ko-KR" altLang="en-US" b="0">
                    <a:solidFill>
                      <a:srgbClr val="000000"/>
                    </a:solidFill>
                    <a:latin typeface="+mn-lt"/>
                  </a:rPr>
                  <a:t>시술 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58061949"/>
        <c:crosses val="autoZero"/>
        <c:auto val="1"/>
        <c:lblAlgn val="ctr"/>
        <c:lblOffset val="100"/>
        <c:noMultiLvlLbl val="1"/>
      </c:catAx>
      <c:valAx>
        <c:axId val="9580619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ko-KR" altLang="en-US" b="0">
                    <a:solidFill>
                      <a:srgbClr val="000000"/>
                    </a:solidFill>
                    <a:latin typeface="+mn-lt"/>
                  </a:rPr>
                  <a:t>총 수납금액 </a:t>
                </a:r>
                <a:r>
                  <a:rPr lang="en-US" altLang="ko-KR" b="0">
                    <a:solidFill>
                      <a:srgbClr val="000000"/>
                    </a:solidFill>
                    <a:latin typeface="+mn-lt"/>
                  </a:rPr>
                  <a:t>(</a:t>
                </a:r>
                <a:r>
                  <a:rPr lang="ko-KR" altLang="en-US" b="0">
                    <a:solidFill>
                      <a:srgbClr val="000000"/>
                    </a:solidFill>
                    <a:latin typeface="+mn-lt"/>
                  </a:rPr>
                  <a:t>원</a:t>
                </a:r>
                <a:r>
                  <a:rPr lang="en-US" altLang="ko-KR" b="0">
                    <a:solidFill>
                      <a:srgbClr val="000000"/>
                    </a:solidFill>
                    <a:latin typeface="+mn-lt"/>
                  </a:rPr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81158793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ko-KR" altLang="en-US" b="0">
                <a:solidFill>
                  <a:srgbClr val="444746"/>
                </a:solidFill>
                <a:latin typeface="+mn-lt"/>
              </a:rPr>
              <a:t>유입 채널별 수납금액 및 미수 잔금 현황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일일매출지표!$I$36</c:f>
              <c:strCache>
                <c:ptCount val="1"/>
                <c:pt idx="0">
                  <c:v>수납금액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일일매출지표!$H$37:$H$42</c:f>
              <c:strCache>
                <c:ptCount val="6"/>
                <c:pt idx="0">
                  <c:v>네이버검색</c:v>
                </c:pt>
                <c:pt idx="1">
                  <c:v>당근마켓</c:v>
                </c:pt>
                <c:pt idx="2">
                  <c:v>인스타그램</c:v>
                </c:pt>
                <c:pt idx="3">
                  <c:v>재방문</c:v>
                </c:pt>
                <c:pt idx="4">
                  <c:v>지인추천</c:v>
                </c:pt>
                <c:pt idx="5">
                  <c:v>카카오톡</c:v>
                </c:pt>
              </c:strCache>
            </c:strRef>
          </c:cat>
          <c:val>
            <c:numRef>
              <c:f>일일매출지표!$I$37:$I$42</c:f>
              <c:numCache>
                <c:formatCode>General</c:formatCode>
                <c:ptCount val="6"/>
                <c:pt idx="0">
                  <c:v>1260000</c:v>
                </c:pt>
                <c:pt idx="1">
                  <c:v>850000</c:v>
                </c:pt>
                <c:pt idx="2">
                  <c:v>4245000</c:v>
                </c:pt>
                <c:pt idx="3">
                  <c:v>2699000</c:v>
                </c:pt>
                <c:pt idx="4">
                  <c:v>2105000</c:v>
                </c:pt>
                <c:pt idx="5">
                  <c:v>2645000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9-4704-B9A4-7AF2EBC8A2E9}"/>
            </c:ext>
          </c:extLst>
        </c:ser>
        <c:ser>
          <c:idx val="1"/>
          <c:order val="1"/>
          <c:tx>
            <c:strRef>
              <c:f>일일매출지표!$J$36</c:f>
              <c:strCache>
                <c:ptCount val="1"/>
                <c:pt idx="0">
                  <c:v>미수잔금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일일매출지표!$H$37:$H$42</c:f>
              <c:strCache>
                <c:ptCount val="6"/>
                <c:pt idx="0">
                  <c:v>네이버검색</c:v>
                </c:pt>
                <c:pt idx="1">
                  <c:v>당근마켓</c:v>
                </c:pt>
                <c:pt idx="2">
                  <c:v>인스타그램</c:v>
                </c:pt>
                <c:pt idx="3">
                  <c:v>재방문</c:v>
                </c:pt>
                <c:pt idx="4">
                  <c:v>지인추천</c:v>
                </c:pt>
                <c:pt idx="5">
                  <c:v>카카오톡</c:v>
                </c:pt>
              </c:strCache>
            </c:strRef>
          </c:cat>
          <c:val>
            <c:numRef>
              <c:f>일일매출지표!$J$37:$J$42</c:f>
              <c:numCache>
                <c:formatCode>General</c:formatCode>
                <c:ptCount val="6"/>
                <c:pt idx="0">
                  <c:v>0</c:v>
                </c:pt>
                <c:pt idx="1">
                  <c:v>50000</c:v>
                </c:pt>
                <c:pt idx="2">
                  <c:v>0</c:v>
                </c:pt>
                <c:pt idx="3">
                  <c:v>800000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9-4704-B9A4-7AF2EBC8A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9076437"/>
        <c:axId val="2091455409"/>
      </c:barChart>
      <c:catAx>
        <c:axId val="269076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ko-KR" altLang="en-US" b="0">
                    <a:solidFill>
                      <a:srgbClr val="000000"/>
                    </a:solidFill>
                    <a:latin typeface="+mn-lt"/>
                  </a:rPr>
                  <a:t>유입 채널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91455409"/>
        <c:crosses val="autoZero"/>
        <c:auto val="1"/>
        <c:lblAlgn val="ctr"/>
        <c:lblOffset val="100"/>
        <c:noMultiLvlLbl val="1"/>
      </c:catAx>
      <c:valAx>
        <c:axId val="20914554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ko-KR" altLang="en-US" b="0">
                    <a:solidFill>
                      <a:srgbClr val="000000"/>
                    </a:solidFill>
                    <a:latin typeface="+mn-lt"/>
                  </a:rPr>
                  <a:t>금액 </a:t>
                </a:r>
                <a:r>
                  <a:rPr lang="en-US" altLang="ko-KR" b="0">
                    <a:solidFill>
                      <a:srgbClr val="000000"/>
                    </a:solidFill>
                    <a:latin typeface="+mn-lt"/>
                  </a:rPr>
                  <a:t>(</a:t>
                </a:r>
                <a:r>
                  <a:rPr lang="ko-KR" altLang="en-US" b="0">
                    <a:solidFill>
                      <a:srgbClr val="000000"/>
                    </a:solidFill>
                    <a:latin typeface="+mn-lt"/>
                  </a:rPr>
                  <a:t>원</a:t>
                </a:r>
                <a:r>
                  <a:rPr lang="en-US" altLang="ko-KR" b="0">
                    <a:solidFill>
                      <a:srgbClr val="000000"/>
                    </a:solidFill>
                    <a:latin typeface="+mn-lt"/>
                  </a:rPr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6907643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638175</xdr:colOff>
      <xdr:row>19</xdr:row>
      <xdr:rowOff>0</xdr:rowOff>
    </xdr:from>
    <xdr:ext cx="4762500" cy="2857500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238125</xdr:colOff>
      <xdr:row>19</xdr:row>
      <xdr:rowOff>0</xdr:rowOff>
    </xdr:from>
    <xdr:ext cx="4762500" cy="2857500"/>
    <xdr:graphicFrame macro="">
      <xdr:nvGraphicFramePr>
        <xdr:cNvPr id="3" name="Chart 2" title="차트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0</xdr:rowOff>
    </xdr:from>
    <xdr:ext cx="4762500" cy="2857500"/>
    <xdr:graphicFrame macro="">
      <xdr:nvGraphicFramePr>
        <xdr:cNvPr id="4" name="Chart 3" title="차트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36:C41">
  <tableColumns count="2">
    <tableColumn id="1" xr3:uid="{00000000-0010-0000-0000-000001000000}" name="Treatment_Item"/>
    <tableColumn id="2" xr3:uid="{00000000-0010-0000-0000-000002000000}" name="수납금액"/>
  </tableColumns>
  <tableStyleInfo name="일일매출지표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2" displayName="표2" ref="E36:F40">
  <tableColumns count="2">
    <tableColumn id="1" xr3:uid="{00000000-0010-0000-0100-000001000000}" name="Reservation_Date"/>
    <tableColumn id="2" xr3:uid="{00000000-0010-0000-0100-000002000000}" name="수납금액"/>
  </tableColumns>
  <tableStyleInfo name="일일매출지표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3" displayName="표3" ref="H36:J42">
  <tableColumns count="3">
    <tableColumn id="1" xr3:uid="{00000000-0010-0000-0200-000001000000}" name="Inflow_Channel"/>
    <tableColumn id="2" xr3:uid="{00000000-0010-0000-0200-000002000000}" name="수납금액"/>
    <tableColumn id="3" xr3:uid="{00000000-0010-0000-0200-000003000000}" name="미수잔금"/>
  </tableColumns>
  <tableStyleInfo name="일일매출지표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Jayung77/mso-crm-data-pipeline/blob/main/MSO%20%EB%8D%B0%EC%9D%B4%ED%84%B0%20%EB%B6%84%EC%84%9D%20%ED%8F%AC%ED%8A%B8%ED%8F%B4%EB%A6%AC%EC%98%A4.pdf" TargetMode="External"/><Relationship Id="rId1" Type="http://schemas.openxmlformats.org/officeDocument/2006/relationships/hyperlink" Target="https://docs.google.com/spreadsheets/d/1RXjJdhmyij5JQC2KHtNI_ndIr7pQMRP8DBqcwKrKr08/edit?gid=179724555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E982"/>
  <sheetViews>
    <sheetView showGridLines="0" tabSelected="1" workbookViewId="0">
      <selection activeCell="A20" sqref="A20:XFD20"/>
    </sheetView>
  </sheetViews>
  <sheetFormatPr defaultColWidth="14.453125" defaultRowHeight="15" customHeight="1"/>
  <cols>
    <col min="1" max="1" width="198.6328125" customWidth="1"/>
    <col min="2" max="4" width="14.453125" customWidth="1"/>
    <col min="5" max="5" width="120.453125" customWidth="1"/>
    <col min="6" max="26" width="8.7265625" customWidth="1"/>
  </cols>
  <sheetData>
    <row r="1" spans="1:1" ht="16.5" customHeight="1">
      <c r="A1" s="1" t="s">
        <v>0</v>
      </c>
    </row>
    <row r="2" spans="1:1" ht="16.5" customHeight="1">
      <c r="A2" s="2"/>
    </row>
    <row r="3" spans="1:1" ht="16.5" customHeight="1">
      <c r="A3" s="3" t="s">
        <v>1</v>
      </c>
    </row>
    <row r="4" spans="1:1" ht="16.5" customHeight="1">
      <c r="A4" s="2"/>
    </row>
    <row r="5" spans="1:1" ht="16.5" customHeight="1">
      <c r="A5" s="3" t="s">
        <v>2</v>
      </c>
    </row>
    <row r="6" spans="1:1" ht="16.5" customHeight="1">
      <c r="A6" s="2"/>
    </row>
    <row r="7" spans="1:1" ht="16.5" customHeight="1">
      <c r="A7" s="7" t="s">
        <v>3</v>
      </c>
    </row>
    <row r="8" spans="1:1" ht="16.5" customHeight="1">
      <c r="A8" s="2"/>
    </row>
    <row r="9" spans="1:1" ht="16.5" customHeight="1">
      <c r="A9" s="10" t="s">
        <v>9</v>
      </c>
    </row>
    <row r="10" spans="1:1" ht="16.5" customHeight="1"/>
    <row r="11" spans="1:1" ht="16.5" customHeight="1">
      <c r="A11" s="1" t="s">
        <v>13</v>
      </c>
    </row>
    <row r="12" spans="1:1" ht="16.5" customHeight="1">
      <c r="A12" s="2"/>
    </row>
    <row r="13" spans="1:1" ht="16.5" customHeight="1">
      <c r="A13" s="3" t="s">
        <v>14</v>
      </c>
    </row>
    <row r="14" spans="1:1" ht="16.5" customHeight="1">
      <c r="A14" s="2"/>
    </row>
    <row r="15" spans="1:1" ht="16.5" customHeight="1">
      <c r="A15" s="3" t="s">
        <v>16</v>
      </c>
    </row>
    <row r="16" spans="1:1" ht="16.5" customHeight="1">
      <c r="A16" s="2"/>
    </row>
    <row r="17" spans="1:5" ht="16.5" customHeight="1">
      <c r="A17" s="3" t="s">
        <v>22</v>
      </c>
    </row>
    <row r="18" spans="1:5" ht="16.5" customHeight="1"/>
    <row r="19" spans="1:5" ht="300" customHeight="1">
      <c r="A19" s="78" t="s">
        <v>442</v>
      </c>
      <c r="B19" s="66"/>
      <c r="C19" s="66"/>
      <c r="D19" s="66"/>
      <c r="E19" s="66"/>
    </row>
    <row r="20" spans="1:5" ht="409.5" customHeight="1">
      <c r="A20" s="79" t="s">
        <v>443</v>
      </c>
    </row>
    <row r="21" spans="1:5" ht="16.5" customHeight="1"/>
    <row r="22" spans="1:5" ht="16.5" customHeight="1"/>
    <row r="23" spans="1:5" ht="16.5" customHeight="1"/>
    <row r="24" spans="1:5" ht="16.5" customHeight="1"/>
    <row r="25" spans="1:5" ht="16.5" customHeight="1"/>
    <row r="26" spans="1:5" ht="16.5" customHeight="1"/>
    <row r="27" spans="1:5" ht="16.5" customHeight="1"/>
    <row r="28" spans="1:5" ht="16.5" customHeight="1"/>
    <row r="29" spans="1:5" ht="16.5" customHeight="1"/>
    <row r="30" spans="1:5" ht="16.5" customHeight="1"/>
    <row r="31" spans="1:5" ht="16.5" customHeight="1"/>
    <row r="32" spans="1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</sheetData>
  <mergeCells count="1">
    <mergeCell ref="A19:E19"/>
  </mergeCells>
  <phoneticPr fontId="29" type="noConversion"/>
  <hyperlinks>
    <hyperlink ref="A7" r:id="rId1" location="gid=1797245553" xr:uid="{00000000-0004-0000-0000-000000000000}"/>
    <hyperlink ref="A9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</sheetPr>
  <dimension ref="B1:L987"/>
  <sheetViews>
    <sheetView showGridLines="0" topLeftCell="A13" workbookViewId="0">
      <selection activeCell="B2" sqref="B2:J2"/>
    </sheetView>
  </sheetViews>
  <sheetFormatPr defaultColWidth="14.453125" defaultRowHeight="15" customHeight="1"/>
  <cols>
    <col min="1" max="1" width="4.08984375" customWidth="1"/>
    <col min="2" max="2" width="33.08984375" customWidth="1"/>
    <col min="3" max="3" width="9.7265625" customWidth="1"/>
    <col min="4" max="4" width="9.26953125" customWidth="1"/>
    <col min="5" max="5" width="13.26953125" customWidth="1"/>
    <col min="6" max="6" width="16.54296875" customWidth="1"/>
    <col min="7" max="7" width="12.7265625" customWidth="1"/>
    <col min="8" max="8" width="8.7265625" customWidth="1"/>
    <col min="9" max="9" width="20.81640625" customWidth="1"/>
    <col min="10" max="10" width="13.81640625" customWidth="1"/>
    <col min="11" max="11" width="16.54296875" customWidth="1"/>
    <col min="12" max="12" width="12.7265625" customWidth="1"/>
    <col min="13" max="26" width="8.7265625" customWidth="1"/>
  </cols>
  <sheetData>
    <row r="1" spans="2:12" ht="16.5" customHeight="1"/>
    <row r="2" spans="2:12" ht="25.5">
      <c r="B2" s="74" t="s">
        <v>396</v>
      </c>
      <c r="C2" s="66"/>
      <c r="D2" s="66"/>
      <c r="E2" s="66"/>
      <c r="F2" s="66"/>
      <c r="G2" s="66"/>
      <c r="H2" s="66"/>
      <c r="I2" s="66"/>
      <c r="J2" s="66"/>
      <c r="K2" s="39"/>
      <c r="L2" s="39"/>
    </row>
    <row r="3" spans="2:12" ht="16.5" customHeight="1"/>
    <row r="4" spans="2:12" ht="16.5" customHeight="1">
      <c r="B4" s="75" t="s">
        <v>397</v>
      </c>
      <c r="C4" s="68"/>
      <c r="D4" s="75" t="s">
        <v>398</v>
      </c>
      <c r="E4" s="76"/>
      <c r="F4" s="68"/>
      <c r="G4" s="75" t="s">
        <v>400</v>
      </c>
      <c r="H4" s="68"/>
      <c r="I4" s="75" t="s">
        <v>401</v>
      </c>
      <c r="J4" s="68"/>
      <c r="K4" s="39"/>
      <c r="L4" s="39"/>
    </row>
    <row r="5" spans="2:12" ht="16.5" customHeight="1">
      <c r="B5" s="77">
        <f>SUM(RAW_DATA!$I$2:$I$48)</f>
        <v>13804000</v>
      </c>
      <c r="C5" s="68"/>
      <c r="D5" s="77">
        <f>SUM(RAW_DATA!$J$2:$J$48)</f>
        <v>900000</v>
      </c>
      <c r="E5" s="76"/>
      <c r="F5" s="68"/>
      <c r="G5" s="67">
        <f>COUNTIFS(RAW_DATA!$D$2:$D$48, "Y", RAW_DATA!$G$2:$G$48, "진료완료")</f>
        <v>15</v>
      </c>
      <c r="H5" s="68"/>
      <c r="I5" s="67">
        <f>COUNTIF(RAW_DATA!$G$2:$G$48,"진료완료")</f>
        <v>34</v>
      </c>
      <c r="J5" s="68"/>
      <c r="K5" s="39"/>
      <c r="L5" s="39"/>
    </row>
    <row r="6" spans="2:12" ht="16.5" customHeight="1"/>
    <row r="7" spans="2:12" ht="16.5" customHeight="1"/>
    <row r="8" spans="2:12" ht="16.5" customHeight="1">
      <c r="B8" s="40" t="s">
        <v>403</v>
      </c>
      <c r="C8" s="39"/>
      <c r="D8" s="39"/>
      <c r="E8" s="39"/>
      <c r="F8" s="39"/>
      <c r="G8" s="39"/>
      <c r="H8" s="39"/>
      <c r="I8" s="40" t="s">
        <v>404</v>
      </c>
      <c r="J8" s="39"/>
      <c r="K8" s="39"/>
      <c r="L8" s="39"/>
    </row>
    <row r="9" spans="2:12" ht="16.5" customHeight="1"/>
    <row r="10" spans="2:12" ht="16.5" customHeight="1">
      <c r="B10" s="41" t="s">
        <v>405</v>
      </c>
      <c r="C10" s="42" t="s">
        <v>406</v>
      </c>
      <c r="D10" s="42" t="s">
        <v>407</v>
      </c>
      <c r="E10" s="42" t="s">
        <v>408</v>
      </c>
      <c r="F10" s="42" t="s">
        <v>409</v>
      </c>
      <c r="G10" s="43" t="s">
        <v>410</v>
      </c>
      <c r="H10" s="39"/>
      <c r="I10" s="41" t="s">
        <v>411</v>
      </c>
      <c r="J10" s="42" t="s">
        <v>412</v>
      </c>
      <c r="K10" s="42" t="s">
        <v>413</v>
      </c>
      <c r="L10" s="43" t="s">
        <v>414</v>
      </c>
    </row>
    <row r="11" spans="2:12" ht="16.5" customHeight="1">
      <c r="B11" s="44" t="s">
        <v>244</v>
      </c>
      <c r="C11" s="45">
        <f>COUNTIFS(RAW_DATA!$E$2:$E$48,B11,RAW_DATA!$G$2:$G$48,"진료완료")</f>
        <v>3</v>
      </c>
      <c r="D11" s="45">
        <f>COUNTIFS(RAW_DATA!$E$2:$E$48,B11,RAW_DATA!$G$2:$G$48,"노쇼")</f>
        <v>2</v>
      </c>
      <c r="E11" s="45">
        <f>COUNTIFS(RAW_DATA!$E$2:$E$48,B11,RAW_DATA!$G$2:$G$48,"예약취소")</f>
        <v>2</v>
      </c>
      <c r="F11" s="46">
        <f>SUMIF(RAW_DATA!$E$2:$E$48, B11, RAW_DATA!$I$2:$I$48)</f>
        <v>1260000</v>
      </c>
      <c r="G11" s="47">
        <f>SUMIF(RAW_DATA!$E$2:$E$48, $B11, RAW_DATA!$J$2:$J$48)</f>
        <v>50000</v>
      </c>
      <c r="H11" s="39"/>
      <c r="I11" s="44" t="s">
        <v>416</v>
      </c>
      <c r="J11" s="45">
        <f>COUNTIFS(RAW_DATA!$A$2:$A$48,일일매출지표!$I11,RAW_DATA!$G$2:$G$48,"진료완료")</f>
        <v>11</v>
      </c>
      <c r="K11" s="46">
        <f>SUMIF(RAW_DATA!$A$2:$A$48,일일매출지표!$I11,RAW_DATA!$I$2:$I$48)</f>
        <v>2934000</v>
      </c>
      <c r="L11" s="47">
        <f>SUMIF(RAW_DATA!$A$2:$A$48,일일매출지표!$I11,RAW_DATA!$J$2:$J$48)</f>
        <v>300000</v>
      </c>
    </row>
    <row r="12" spans="2:12" ht="16.5" customHeight="1">
      <c r="B12" s="48" t="s">
        <v>153</v>
      </c>
      <c r="C12" s="49">
        <f>COUNTIFS(RAW_DATA!$E$2:$E$48,B12,RAW_DATA!$G$2:$G$48,"진료완료")</f>
        <v>5</v>
      </c>
      <c r="D12" s="49">
        <f>COUNTIFS(RAW_DATA!$E$2:$E$48,B12,RAW_DATA!$G$2:$G$48,"노쇼")</f>
        <v>1</v>
      </c>
      <c r="E12" s="49">
        <f>COUNTIFS(RAW_DATA!$E$2:$E$48,B12,RAW_DATA!$G$2:$G$48,"예약취소")</f>
        <v>1</v>
      </c>
      <c r="F12" s="50">
        <f>SUMIF(RAW_DATA!$E$2:$E$48, B12, RAW_DATA!$I$2:$I$48)</f>
        <v>4245000</v>
      </c>
      <c r="G12" s="51">
        <f>SUMIF(RAW_DATA!$E$2:$E$48, $B12, RAW_DATA!$J$2:$J$48)</f>
        <v>800000</v>
      </c>
      <c r="H12" s="39"/>
      <c r="I12" s="48" t="s">
        <v>417</v>
      </c>
      <c r="J12" s="49">
        <f>COUNTIFS(RAW_DATA!$A$2:$A$48,일일매출지표!$I12,RAW_DATA!$G$2:$G$48,"진료완료")</f>
        <v>9</v>
      </c>
      <c r="K12" s="50">
        <f>SUMIF(RAW_DATA!$A$2:$A$48,일일매출지표!$I12,RAW_DATA!$I$2:$I$48)</f>
        <v>3255000</v>
      </c>
      <c r="L12" s="51">
        <f>SUMIF(RAW_DATA!$A$2:$A$48,일일매출지표!$I12,RAW_DATA!$J$2:$J$48)</f>
        <v>50000</v>
      </c>
    </row>
    <row r="13" spans="2:12" ht="16.5" customHeight="1">
      <c r="B13" s="48" t="s">
        <v>178</v>
      </c>
      <c r="C13" s="49">
        <f>COUNTIFS(RAW_DATA!$E$2:$E$48,B13,RAW_DATA!$G$2:$G$48,"진료완료")</f>
        <v>9</v>
      </c>
      <c r="D13" s="49">
        <f>COUNTIFS(RAW_DATA!$E$2:$E$48,B13,RAW_DATA!$G$2:$G$48,"노쇼")</f>
        <v>0</v>
      </c>
      <c r="E13" s="49">
        <f>COUNTIFS(RAW_DATA!$E$2:$E$48,B13,RAW_DATA!$G$2:$G$48,"예약취소")</f>
        <v>0</v>
      </c>
      <c r="F13" s="50">
        <f>SUMIF(RAW_DATA!$E$2:$E$48, B13, RAW_DATA!$I$2:$I$48)</f>
        <v>2645000</v>
      </c>
      <c r="G13" s="51">
        <f>SUMIF(RAW_DATA!$E$2:$E$48, $B13, RAW_DATA!$J$2:$J$48)</f>
        <v>50000</v>
      </c>
      <c r="H13" s="39"/>
      <c r="I13" s="48" t="s">
        <v>418</v>
      </c>
      <c r="J13" s="49">
        <f>COUNTIFS(RAW_DATA!$A$2:$A$48,일일매출지표!$I13,RAW_DATA!$G$2:$G$48,"진료완료")</f>
        <v>12</v>
      </c>
      <c r="K13" s="50">
        <f>SUMIF(RAW_DATA!$A$2:$A$48,일일매출지표!$I13,RAW_DATA!$I$2:$I$48)</f>
        <v>7520000</v>
      </c>
      <c r="L13" s="51">
        <f>SUMIF(RAW_DATA!$A$2:$A$48,일일매출지표!$I13,RAW_DATA!$J$2:$J$48)</f>
        <v>550000</v>
      </c>
    </row>
    <row r="14" spans="2:12" ht="16.5" customHeight="1">
      <c r="B14" s="48" t="s">
        <v>250</v>
      </c>
      <c r="C14" s="49">
        <f>COUNTIFS(RAW_DATA!$E$2:$E$48,B14,RAW_DATA!$G$2:$G$48,"진료완료")</f>
        <v>3</v>
      </c>
      <c r="D14" s="49">
        <f>COUNTIFS(RAW_DATA!$E$2:$E$48,B14,RAW_DATA!$G$2:$G$48,"노쇼")</f>
        <v>1</v>
      </c>
      <c r="E14" s="49">
        <f>COUNTIFS(RAW_DATA!$E$2:$E$48,B14,RAW_DATA!$G$2:$G$48,"예약취소")</f>
        <v>1</v>
      </c>
      <c r="F14" s="50">
        <f>SUMIF(RAW_DATA!$E$2:$E$48, B14, RAW_DATA!$I$2:$I$48)</f>
        <v>850000</v>
      </c>
      <c r="G14" s="51">
        <f>SUMIF(RAW_DATA!$E$2:$E$48, $B14, RAW_DATA!$J$2:$J$48)</f>
        <v>0</v>
      </c>
      <c r="H14" s="39"/>
      <c r="I14" s="48" t="s">
        <v>419</v>
      </c>
      <c r="J14" s="49">
        <f>COUNTIFS(RAW_DATA!$A$2:$A$48,일일매출지표!$I14,RAW_DATA!$G$2:$G$48,"진료완료")</f>
        <v>2</v>
      </c>
      <c r="K14" s="50">
        <f>SUMIF(RAW_DATA!$A$2:$A$48,일일매출지표!$I14,RAW_DATA!$I$2:$I$48)</f>
        <v>95000</v>
      </c>
      <c r="L14" s="51">
        <f>SUMIF(RAW_DATA!$A$2:$A$48,일일매출지표!$I14,RAW_DATA!$J$2:$J$48)</f>
        <v>0</v>
      </c>
    </row>
    <row r="15" spans="2:12" ht="16.5" customHeight="1">
      <c r="B15" s="48" t="s">
        <v>274</v>
      </c>
      <c r="C15" s="49">
        <f>COUNTIFS(RAW_DATA!$E$2:$E$48,B15,RAW_DATA!$G$2:$G$48,"진료완료")</f>
        <v>7</v>
      </c>
      <c r="D15" s="49">
        <f>COUNTIFS(RAW_DATA!$E$2:$E$48,B15,RAW_DATA!$G$2:$G$48,"노쇼")</f>
        <v>2</v>
      </c>
      <c r="E15" s="49">
        <f>COUNTIFS(RAW_DATA!$E$2:$E$48,B15,RAW_DATA!$G$2:$G$48,"예약취소")</f>
        <v>0</v>
      </c>
      <c r="F15" s="50">
        <f>SUMIF(RAW_DATA!$E$2:$E$48, B15, RAW_DATA!$I$2:$I$48)</f>
        <v>2105000</v>
      </c>
      <c r="G15" s="51">
        <f>SUMIF(RAW_DATA!$E$2:$E$48, $B15, RAW_DATA!$J$2:$J$48)</f>
        <v>0</v>
      </c>
      <c r="H15" s="39"/>
      <c r="I15" s="52" t="s">
        <v>374</v>
      </c>
      <c r="J15" s="53">
        <f>SUM($J$11:$J$14)</f>
        <v>34</v>
      </c>
      <c r="K15" s="54">
        <f>SUM($K$11:$K$14)</f>
        <v>13804000</v>
      </c>
      <c r="L15" s="55">
        <f>SUM($L$11:$L$14)</f>
        <v>900000</v>
      </c>
    </row>
    <row r="16" spans="2:12" ht="16.5" customHeight="1">
      <c r="B16" s="48" t="s">
        <v>362</v>
      </c>
      <c r="C16" s="49">
        <f>COUNTIFS(RAW_DATA!$E$2:$E$48,B16,RAW_DATA!$G$2:$G$48,"진료완료")</f>
        <v>7</v>
      </c>
      <c r="D16" s="49">
        <f>COUNTIFS(RAW_DATA!$E$2:$E$48,B16,RAW_DATA!$G$2:$G$48,"노쇼")</f>
        <v>1</v>
      </c>
      <c r="E16" s="49">
        <f>COUNTIFS(RAW_DATA!$E$2:$E$48,B16,RAW_DATA!$G$2:$G$48,"예약취소")</f>
        <v>2</v>
      </c>
      <c r="F16" s="50">
        <f>SUMIF(RAW_DATA!$E$2:$E$48, B16, RAW_DATA!$I$2:$I$48)</f>
        <v>2699000</v>
      </c>
      <c r="G16" s="51">
        <f>SUMIF(RAW_DATA!$E$2:$E$48, $B16, RAW_DATA!$J$2:$J$48)</f>
        <v>0</v>
      </c>
      <c r="H16" s="39"/>
      <c r="I16" s="39"/>
      <c r="J16" s="39"/>
      <c r="K16" s="39"/>
      <c r="L16" s="39"/>
    </row>
    <row r="17" spans="2:7" ht="16.5" customHeight="1">
      <c r="B17" s="56" t="s">
        <v>374</v>
      </c>
      <c r="C17" s="57">
        <f>SUM($C$11:$C$16)</f>
        <v>34</v>
      </c>
      <c r="D17" s="57">
        <f>SUM($D$11:$D$16)</f>
        <v>7</v>
      </c>
      <c r="E17" s="57">
        <f>SUM($E$11:$E$16)</f>
        <v>6</v>
      </c>
      <c r="F17" s="58">
        <f>SUM($F$11:$F$16)</f>
        <v>13804000</v>
      </c>
      <c r="G17" s="59">
        <f>SUM($G$11:$G$16)</f>
        <v>900000</v>
      </c>
    </row>
    <row r="18" spans="2:7" ht="16.5" customHeight="1">
      <c r="B18" s="52" t="s">
        <v>421</v>
      </c>
      <c r="C18" s="69">
        <f>SUM($C$17:$E$17)</f>
        <v>47</v>
      </c>
      <c r="D18" s="70"/>
      <c r="E18" s="71"/>
      <c r="F18" s="72">
        <f>SUM($F$17:$G$17)</f>
        <v>14704000</v>
      </c>
      <c r="G18" s="73"/>
    </row>
    <row r="19" spans="2:7" ht="16.5" customHeight="1"/>
    <row r="20" spans="2:7" ht="16.5" customHeight="1"/>
    <row r="21" spans="2:7" ht="16.5" customHeight="1"/>
    <row r="22" spans="2:7" ht="16.5" customHeight="1"/>
    <row r="23" spans="2:7" ht="16.5" customHeight="1"/>
    <row r="24" spans="2:7" ht="16.5" customHeight="1"/>
    <row r="25" spans="2:7" ht="16.5" customHeight="1"/>
    <row r="26" spans="2:7" ht="16.5" customHeight="1"/>
    <row r="27" spans="2:7" ht="16.5" customHeight="1"/>
    <row r="28" spans="2:7" ht="16.5" customHeight="1"/>
    <row r="29" spans="2:7" ht="16.5" customHeight="1"/>
    <row r="30" spans="2:7" ht="16.5" customHeight="1"/>
    <row r="31" spans="2:7" ht="16.5" customHeight="1"/>
    <row r="32" spans="2:7" ht="16.5" customHeight="1"/>
    <row r="33" spans="2:10" ht="16.5" customHeight="1"/>
    <row r="34" spans="2:10" ht="16.5" customHeight="1"/>
    <row r="35" spans="2:10" ht="16.5" customHeight="1"/>
    <row r="36" spans="2:10" ht="16.5" customHeight="1">
      <c r="B36" s="60" t="s">
        <v>82</v>
      </c>
      <c r="C36" s="60" t="s">
        <v>431</v>
      </c>
      <c r="E36" s="60" t="s">
        <v>52</v>
      </c>
      <c r="F36" s="60" t="s">
        <v>431</v>
      </c>
      <c r="H36" s="60" t="s">
        <v>69</v>
      </c>
      <c r="I36" s="60" t="s">
        <v>431</v>
      </c>
      <c r="J36" s="60" t="s">
        <v>432</v>
      </c>
    </row>
    <row r="37" spans="2:10" ht="16.5" customHeight="1">
      <c r="B37" s="6" t="s">
        <v>386</v>
      </c>
      <c r="C37" s="6">
        <f>SUMIF(RAW_DATA!$H$2:$H$48,일일매출지표!$B37,RAW_DATA!$I$2:$I$48)</f>
        <v>2500000</v>
      </c>
      <c r="E37" s="61">
        <v>46310</v>
      </c>
      <c r="F37" s="6" t="s">
        <v>433</v>
      </c>
      <c r="H37" s="6" t="s">
        <v>244</v>
      </c>
      <c r="I37" s="6">
        <f>SUMIF(RAW_DATA!$E$2:$E$48, H37, RAW_DATA!$I$2:$I$48)</f>
        <v>1260000</v>
      </c>
      <c r="J37" s="6">
        <f>SUMIF(RAW_DATA!$E$2:$E$48, H36, RAW_DATA!$J$2:$J$48)</f>
        <v>0</v>
      </c>
    </row>
    <row r="38" spans="2:10" ht="16.5" customHeight="1">
      <c r="B38" s="6" t="s">
        <v>369</v>
      </c>
      <c r="C38" s="6">
        <f>SUMIF(RAW_DATA!$H$2:$H$48,일일매출지표!$B38,RAW_DATA!$I$2:$I$48)</f>
        <v>3600000</v>
      </c>
      <c r="E38" s="61">
        <v>46311</v>
      </c>
      <c r="F38" s="6">
        <f>SUMIF(RAW_DATA!$A$2:$A$48,일일매출지표!$E38,RAW_DATA!$I$2:$I$48)</f>
        <v>3255000</v>
      </c>
      <c r="H38" s="6" t="s">
        <v>250</v>
      </c>
      <c r="I38" s="6">
        <f>SUMIF(RAW_DATA!$E$2:$E$48, H38, RAW_DATA!$I$2:$I$48)</f>
        <v>850000</v>
      </c>
      <c r="J38" s="6">
        <f>SUMIF(RAW_DATA!$E$2:$E$48, H37, RAW_DATA!$J$2:$J$48)</f>
        <v>50000</v>
      </c>
    </row>
    <row r="39" spans="2:10" ht="16.5" customHeight="1">
      <c r="B39" s="6" t="s">
        <v>392</v>
      </c>
      <c r="C39" s="6">
        <f>SUMIF(RAW_DATA!$H$2:$H$48,일일매출지표!$B39,RAW_DATA!$I$2:$I$48)</f>
        <v>2200000</v>
      </c>
      <c r="E39" s="61">
        <v>46312</v>
      </c>
      <c r="F39" s="6">
        <f>SUMIF(RAW_DATA!$A$2:$A$48,일일매출지표!$E39,RAW_DATA!$I$2:$I$48)</f>
        <v>7520000</v>
      </c>
      <c r="H39" s="6" t="s">
        <v>153</v>
      </c>
      <c r="I39" s="6">
        <f>SUMIF(RAW_DATA!$E$2:$E$48, H39, RAW_DATA!$I$2:$I$48)</f>
        <v>4245000</v>
      </c>
      <c r="J39" s="6">
        <f>SUMIF(RAW_DATA!$E$2:$E$48, H38, RAW_DATA!$J$2:$J$48)</f>
        <v>0</v>
      </c>
    </row>
    <row r="40" spans="2:10" ht="16.5" customHeight="1">
      <c r="B40" s="6" t="s">
        <v>387</v>
      </c>
      <c r="C40" s="6">
        <f>SUMIF(RAW_DATA!$H$2:$H$48,일일매출지표!$B40,RAW_DATA!$I$2:$I$48)</f>
        <v>900000</v>
      </c>
      <c r="E40" s="61">
        <v>46313</v>
      </c>
      <c r="F40" s="6">
        <f>SUMIF(RAW_DATA!$A$2:$A$48,일일매출지표!$E40,RAW_DATA!$I$2:$I$48)</f>
        <v>95000</v>
      </c>
      <c r="H40" s="6" t="s">
        <v>362</v>
      </c>
      <c r="I40" s="6">
        <f>SUMIF(RAW_DATA!$E$2:$E$48, H40, RAW_DATA!$I$2:$I$48)</f>
        <v>2699000</v>
      </c>
      <c r="J40" s="6">
        <f>SUMIF(RAW_DATA!$E$2:$E$48, H39, RAW_DATA!$J$2:$J$48)</f>
        <v>800000</v>
      </c>
    </row>
    <row r="41" spans="2:10" ht="16.5" customHeight="1">
      <c r="B41" s="6" t="s">
        <v>279</v>
      </c>
      <c r="C41" s="6">
        <f>SUMIF(RAW_DATA!$H$2:$H$48,일일매출지표!$B41,RAW_DATA!$I$2:$I$48)</f>
        <v>1700000</v>
      </c>
      <c r="H41" s="6" t="s">
        <v>274</v>
      </c>
      <c r="I41" s="6">
        <f>SUMIF(RAW_DATA!$E$2:$E$48, H41, RAW_DATA!$I$2:$I$48)</f>
        <v>2105000</v>
      </c>
      <c r="J41" s="6">
        <f>SUMIF(RAW_DATA!$E$2:$E$48, H40, RAW_DATA!$J$2:$J$48)</f>
        <v>0</v>
      </c>
    </row>
    <row r="42" spans="2:10" ht="16.5" customHeight="1">
      <c r="H42" s="6" t="s">
        <v>178</v>
      </c>
      <c r="I42" s="6">
        <f>SUMIF(RAW_DATA!$E$2:$E$48, H42, RAW_DATA!$I$2:$I$48)</f>
        <v>2645000</v>
      </c>
      <c r="J42" s="6">
        <f>SUMIF(RAW_DATA!$E$2:$E$48, H41, RAW_DATA!$J$2:$J$48)</f>
        <v>0</v>
      </c>
    </row>
    <row r="43" spans="2:10" ht="16.5" customHeight="1"/>
    <row r="44" spans="2:10" ht="16.5" customHeight="1"/>
    <row r="45" spans="2:10" ht="16.5" customHeight="1"/>
    <row r="46" spans="2:10" ht="16.5" customHeight="1"/>
    <row r="47" spans="2:10" ht="16.5" customHeight="1"/>
    <row r="48" spans="2:10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</sheetData>
  <mergeCells count="11">
    <mergeCell ref="G5:H5"/>
    <mergeCell ref="I5:J5"/>
    <mergeCell ref="C18:E18"/>
    <mergeCell ref="F18:G18"/>
    <mergeCell ref="B2:J2"/>
    <mergeCell ref="B4:C4"/>
    <mergeCell ref="D4:F4"/>
    <mergeCell ref="G4:H4"/>
    <mergeCell ref="I4:J4"/>
    <mergeCell ref="B5:C5"/>
    <mergeCell ref="D5:F5"/>
  </mergeCells>
  <phoneticPr fontId="29" type="noConversion"/>
  <dataValidations count="2">
    <dataValidation type="custom" allowBlank="1" showDropDown="1" sqref="F37:F40 C37:C41 I37:J42" xr:uid="{00000000-0002-0000-0100-000000000000}">
      <formula1>AND(ISNUMBER(C37),(NOT(OR(NOT(ISERROR(DATEVALUE(C37))), AND(ISNUMBER(C37), LEFT(CELL("format", C37))="D")))))</formula1>
    </dataValidation>
    <dataValidation type="custom" allowBlank="1" showDropDown="1" sqref="E37:E40" xr:uid="{00000000-0002-0000-0100-000001000000}">
      <formula1>OR(NOT(ISERROR(DATEVALUE(E37))), AND(ISNUMBER(E37), LEFT(CELL("format", E37))="D"))</formula1>
    </dataValidation>
  </dataValidations>
  <pageMargins left="0.7" right="0.7" top="0.75" bottom="0.75" header="0" footer="0"/>
  <pageSetup orientation="landscape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</sheetPr>
  <dimension ref="A1:K39"/>
  <sheetViews>
    <sheetView workbookViewId="0"/>
  </sheetViews>
  <sheetFormatPr defaultColWidth="14.453125" defaultRowHeight="15" customHeight="1"/>
  <cols>
    <col min="1" max="1" width="18.7265625" customWidth="1"/>
    <col min="2" max="7" width="15.08984375" customWidth="1"/>
    <col min="8" max="9" width="19.453125" customWidth="1"/>
    <col min="10" max="10" width="45.81640625" customWidth="1"/>
    <col min="11" max="11" width="15.81640625" customWidth="1"/>
  </cols>
  <sheetData>
    <row r="1" spans="1:11">
      <c r="A1" s="4" t="s">
        <v>4</v>
      </c>
    </row>
    <row r="2" spans="1:11">
      <c r="A2" s="5" t="s">
        <v>5</v>
      </c>
    </row>
    <row r="4" spans="1:11">
      <c r="A4" s="6" t="s">
        <v>6</v>
      </c>
      <c r="B4" s="9" t="s">
        <v>8</v>
      </c>
      <c r="C4" s="18">
        <f>COUNTA(RAW_DATA!A2:A48)</f>
        <v>47</v>
      </c>
      <c r="D4" s="9" t="s">
        <v>54</v>
      </c>
      <c r="E4" s="18">
        <f>COUNTIF(RAW_DATA!D2:D48, "Y")</f>
        <v>22</v>
      </c>
      <c r="F4" s="9" t="s">
        <v>96</v>
      </c>
      <c r="G4" s="21">
        <f>E4/C4</f>
        <v>0.46808510638297873</v>
      </c>
      <c r="H4" s="9" t="s">
        <v>126</v>
      </c>
      <c r="I4" s="22">
        <f>SUMIF(RAW_DATA!D2:D48, "Y", RAW_DATA!I2:I48)</f>
        <v>4885000</v>
      </c>
    </row>
    <row r="5" spans="1:11">
      <c r="A5" s="6" t="s">
        <v>136</v>
      </c>
      <c r="B5" s="9" t="s">
        <v>137</v>
      </c>
      <c r="C5" s="18">
        <f>COUNTIF(RAW_DATA!G2:G48, "진료완료")</f>
        <v>34</v>
      </c>
      <c r="D5" s="9" t="s">
        <v>138</v>
      </c>
      <c r="E5" s="18">
        <f>COUNTIF(RAW_DATA!D2:D48, "N")</f>
        <v>25</v>
      </c>
      <c r="F5" s="9" t="s">
        <v>139</v>
      </c>
      <c r="G5" s="21">
        <f>E5/C4</f>
        <v>0.53191489361702127</v>
      </c>
      <c r="H5" s="9" t="s">
        <v>140</v>
      </c>
      <c r="I5" s="22">
        <f>SUMIF(RAW_DATA!D2:D48, "N", RAW_DATA!I2:I48)</f>
        <v>8919000</v>
      </c>
    </row>
    <row r="8" spans="1:11">
      <c r="A8" s="8" t="s">
        <v>141</v>
      </c>
    </row>
    <row r="9" spans="1:11">
      <c r="A9" s="11" t="s">
        <v>142</v>
      </c>
      <c r="B9" s="11" t="s">
        <v>143</v>
      </c>
      <c r="C9" s="11" t="s">
        <v>144</v>
      </c>
      <c r="D9" s="11" t="s">
        <v>145</v>
      </c>
      <c r="E9" s="11" t="s">
        <v>146</v>
      </c>
      <c r="F9" s="11" t="s">
        <v>147</v>
      </c>
      <c r="G9" s="11" t="s">
        <v>148</v>
      </c>
      <c r="H9" s="11" t="s">
        <v>149</v>
      </c>
      <c r="I9" s="11" t="s">
        <v>150</v>
      </c>
      <c r="J9" s="11" t="s">
        <v>151</v>
      </c>
      <c r="K9" s="11" t="s">
        <v>152</v>
      </c>
    </row>
    <row r="10" spans="1:11">
      <c r="A10" s="23" t="s">
        <v>153</v>
      </c>
      <c r="B10" s="24">
        <f>COUNTIF(RAW_DATA!$E$2:$E$48, A10)</f>
        <v>7</v>
      </c>
      <c r="C10" s="24">
        <f>COUNTIFS(RAW_DATA!$E$2:$E$48, A10, RAW_DATA!$D$2:$D$48, "Y")</f>
        <v>2</v>
      </c>
      <c r="D10" s="24">
        <f>COUNTIFS(RAW_DATA!$E$2:$E$48, A10, RAW_DATA!$D$2:$D$48, "N")</f>
        <v>5</v>
      </c>
      <c r="E10" s="25">
        <f t="shared" ref="E10:E16" si="0">IFERROR(C10/B10, 0)</f>
        <v>0.2857142857142857</v>
      </c>
      <c r="F10" s="24">
        <f>COUNTIFS(RAW_DATA!$E$2:$E$48, A10, RAW_DATA!$G$2:$G$48, "진료완료")</f>
        <v>5</v>
      </c>
      <c r="G10" s="25">
        <f t="shared" ref="G10:G16" si="1">IFERROR(F10/B10, 0)</f>
        <v>0.7142857142857143</v>
      </c>
      <c r="H10" s="26">
        <f>SUMIFS(RAW_DATA!$I$2:$I$48, RAW_DATA!$E$2:$E$48, A10, RAW_DATA!$G$2:$G$48, "진료완료")</f>
        <v>4245000</v>
      </c>
      <c r="I10" s="26">
        <f>SUMIFS(RAW_DATA!$I$2:$I$48, RAW_DATA!$E$2:$E$48, A10, RAW_DATA!$D$2:$D$48, "Y", RAW_DATA!$G$2:$G$48, "진료완료")</f>
        <v>510000</v>
      </c>
      <c r="J10" s="26">
        <f>SUMIFS(RAW_DATA!$I$2:$I$48, RAW_DATA!$E$2:$E$48, A10, RAW_DATA!$D$2:$D$48, "N", RAW_DATA!$G$2:$G$48, "진료완료")</f>
        <v>3735000</v>
      </c>
      <c r="K10" s="25">
        <f t="shared" ref="K10:K16" si="2">IFERROR(I10/H10, 0)</f>
        <v>0.12014134275618374</v>
      </c>
    </row>
    <row r="11" spans="1:11">
      <c r="A11" s="23" t="s">
        <v>178</v>
      </c>
      <c r="B11" s="24">
        <f>COUNTIF(RAW_DATA!$E$2:$E$48, A11)</f>
        <v>9</v>
      </c>
      <c r="C11" s="24">
        <f>COUNTIFS(RAW_DATA!$E$2:$E$48, A11, RAW_DATA!$D$2:$D$48, "Y")</f>
        <v>5</v>
      </c>
      <c r="D11" s="24">
        <f>COUNTIFS(RAW_DATA!$E$2:$E$48, A11, RAW_DATA!$D$2:$D$48, "N")</f>
        <v>4</v>
      </c>
      <c r="E11" s="25">
        <f t="shared" si="0"/>
        <v>0.55555555555555558</v>
      </c>
      <c r="F11" s="24">
        <f>COUNTIFS(RAW_DATA!$E$2:$E$48, A11, RAW_DATA!$G$2:$G$48, "진료완료")</f>
        <v>9</v>
      </c>
      <c r="G11" s="25">
        <f t="shared" si="1"/>
        <v>1</v>
      </c>
      <c r="H11" s="26">
        <f>SUMIFS(RAW_DATA!$I$2:$I$48, RAW_DATA!$E$2:$E$48, A11, RAW_DATA!$G$2:$G$48, "진료완료")</f>
        <v>2645000</v>
      </c>
      <c r="I11" s="26">
        <f>SUMIFS(RAW_DATA!$I$2:$I$48, RAW_DATA!$E$2:$E$48, A11, RAW_DATA!$D$2:$D$48, "Y", RAW_DATA!$G$2:$G$48, "진료완료")</f>
        <v>1595000</v>
      </c>
      <c r="J11" s="26">
        <f>SUMIFS(RAW_DATA!$I$2:$I$48, RAW_DATA!$E$2:$E$48, A11, RAW_DATA!$D$2:$D$48, "N", RAW_DATA!$G$2:$G$48, "진료완료")</f>
        <v>1050000</v>
      </c>
      <c r="K11" s="25">
        <f t="shared" si="2"/>
        <v>0.60302457466918713</v>
      </c>
    </row>
    <row r="12" spans="1:11">
      <c r="A12" s="23" t="s">
        <v>244</v>
      </c>
      <c r="B12" s="24">
        <f>COUNTIF(RAW_DATA!$E$2:$E$48, A12)</f>
        <v>7</v>
      </c>
      <c r="C12" s="24">
        <f>COUNTIFS(RAW_DATA!$E$2:$E$48, A12, RAW_DATA!$D$2:$D$48, "Y")</f>
        <v>4</v>
      </c>
      <c r="D12" s="24">
        <f>COUNTIFS(RAW_DATA!$E$2:$E$48, A12, RAW_DATA!$D$2:$D$48, "N")</f>
        <v>3</v>
      </c>
      <c r="E12" s="25">
        <f t="shared" si="0"/>
        <v>0.5714285714285714</v>
      </c>
      <c r="F12" s="24">
        <f>COUNTIFS(RAW_DATA!$E$2:$E$48, A12, RAW_DATA!$G$2:$G$48, "진료완료")</f>
        <v>3</v>
      </c>
      <c r="G12" s="25">
        <f t="shared" si="1"/>
        <v>0.42857142857142855</v>
      </c>
      <c r="H12" s="26">
        <f>SUMIFS(RAW_DATA!$I$2:$I$48, RAW_DATA!$E$2:$E$48, A12, RAW_DATA!$G$2:$G$48, "진료완료")</f>
        <v>1260000</v>
      </c>
      <c r="I12" s="26">
        <f>SUMIFS(RAW_DATA!$I$2:$I$48, RAW_DATA!$E$2:$E$48, A12, RAW_DATA!$D$2:$D$48, "Y", RAW_DATA!$G$2:$G$48, "진료완료")</f>
        <v>1140000</v>
      </c>
      <c r="J12" s="26">
        <f>SUMIFS(RAW_DATA!$I$2:$I$48, RAW_DATA!$E$2:$E$48, A12, RAW_DATA!$D$2:$D$48, "N", RAW_DATA!$G$2:$G$48, "진료완료")</f>
        <v>120000</v>
      </c>
      <c r="K12" s="25">
        <f t="shared" si="2"/>
        <v>0.90476190476190477</v>
      </c>
    </row>
    <row r="13" spans="1:11">
      <c r="A13" s="23" t="s">
        <v>250</v>
      </c>
      <c r="B13" s="24">
        <f>COUNTIF(RAW_DATA!$E$2:$E$48, A13)</f>
        <v>5</v>
      </c>
      <c r="C13" s="24">
        <f>COUNTIFS(RAW_DATA!$E$2:$E$48, A13, RAW_DATA!$D$2:$D$48, "Y")</f>
        <v>5</v>
      </c>
      <c r="D13" s="24">
        <f>COUNTIFS(RAW_DATA!$E$2:$E$48, A13, RAW_DATA!$D$2:$D$48, "N")</f>
        <v>0</v>
      </c>
      <c r="E13" s="25">
        <f t="shared" si="0"/>
        <v>1</v>
      </c>
      <c r="F13" s="24">
        <f>COUNTIFS(RAW_DATA!$E$2:$E$48, A13, RAW_DATA!$G$2:$G$48, "진료완료")</f>
        <v>3</v>
      </c>
      <c r="G13" s="25">
        <f t="shared" si="1"/>
        <v>0.6</v>
      </c>
      <c r="H13" s="26">
        <f>SUMIFS(RAW_DATA!$I$2:$I$48, RAW_DATA!$E$2:$E$48, A13, RAW_DATA!$G$2:$G$48, "진료완료")</f>
        <v>850000</v>
      </c>
      <c r="I13" s="26">
        <f>SUMIFS(RAW_DATA!$I$2:$I$48, RAW_DATA!$E$2:$E$48, A13, RAW_DATA!$D$2:$D$48, "Y", RAW_DATA!$G$2:$G$48, "진료완료")</f>
        <v>850000</v>
      </c>
      <c r="J13" s="26">
        <f>SUMIFS(RAW_DATA!$I$2:$I$48, RAW_DATA!$E$2:$E$48, A13, RAW_DATA!$D$2:$D$48, "N", RAW_DATA!$G$2:$G$48, "진료완료")</f>
        <v>0</v>
      </c>
      <c r="K13" s="25">
        <f t="shared" si="2"/>
        <v>1</v>
      </c>
    </row>
    <row r="14" spans="1:11">
      <c r="A14" s="23" t="s">
        <v>274</v>
      </c>
      <c r="B14" s="24">
        <f>COUNTIF(RAW_DATA!$E$2:$E$48, A14)</f>
        <v>9</v>
      </c>
      <c r="C14" s="24">
        <f>COUNTIFS(RAW_DATA!$E$2:$E$48, A14, RAW_DATA!$D$2:$D$48, "Y")</f>
        <v>4</v>
      </c>
      <c r="D14" s="24">
        <f>COUNTIFS(RAW_DATA!$E$2:$E$48, A14, RAW_DATA!$D$2:$D$48, "N")</f>
        <v>5</v>
      </c>
      <c r="E14" s="25">
        <f t="shared" si="0"/>
        <v>0.44444444444444442</v>
      </c>
      <c r="F14" s="24">
        <f>COUNTIFS(RAW_DATA!$E$2:$E$48, A14, RAW_DATA!$G$2:$G$48, "진료완료")</f>
        <v>7</v>
      </c>
      <c r="G14" s="25">
        <f t="shared" si="1"/>
        <v>0.77777777777777779</v>
      </c>
      <c r="H14" s="26">
        <f>SUMIFS(RAW_DATA!$I$2:$I$48, RAW_DATA!$E$2:$E$48, A14, RAW_DATA!$G$2:$G$48, "진료완료")</f>
        <v>2105000</v>
      </c>
      <c r="I14" s="26">
        <f>SUMIFS(RAW_DATA!$I$2:$I$48, RAW_DATA!$E$2:$E$48, A14, RAW_DATA!$D$2:$D$48, "Y", RAW_DATA!$G$2:$G$48, "진료완료")</f>
        <v>570000</v>
      </c>
      <c r="J14" s="26">
        <f>SUMIFS(RAW_DATA!$I$2:$I$48, RAW_DATA!$E$2:$E$48, A14, RAW_DATA!$D$2:$D$48, "N", RAW_DATA!$G$2:$G$48, "진료완료")</f>
        <v>1535000</v>
      </c>
      <c r="K14" s="25">
        <f t="shared" si="2"/>
        <v>0.27078384798099764</v>
      </c>
    </row>
    <row r="15" spans="1:11">
      <c r="A15" s="23" t="s">
        <v>362</v>
      </c>
      <c r="B15" s="24">
        <f>COUNTIF(RAW_DATA!$E$2:$E$48, A15)</f>
        <v>10</v>
      </c>
      <c r="C15" s="24">
        <f>COUNTIFS(RAW_DATA!$E$2:$E$48, A15, RAW_DATA!$D$2:$D$48, "Y")</f>
        <v>2</v>
      </c>
      <c r="D15" s="24">
        <f>COUNTIFS(RAW_DATA!$E$2:$E$48, A15, RAW_DATA!$D$2:$D$48, "N")</f>
        <v>8</v>
      </c>
      <c r="E15" s="25">
        <f t="shared" si="0"/>
        <v>0.2</v>
      </c>
      <c r="F15" s="24">
        <f>COUNTIFS(RAW_DATA!$E$2:$E$48, A15, RAW_DATA!$G$2:$G$48, "진료완료")</f>
        <v>7</v>
      </c>
      <c r="G15" s="25">
        <f t="shared" si="1"/>
        <v>0.7</v>
      </c>
      <c r="H15" s="26">
        <f>SUMIFS(RAW_DATA!$I$2:$I$48, RAW_DATA!$E$2:$E$48, A15, RAW_DATA!$G$2:$G$48, "진료완료")</f>
        <v>2699000</v>
      </c>
      <c r="I15" s="26">
        <f>SUMIFS(RAW_DATA!$I$2:$I$48, RAW_DATA!$E$2:$E$48, A15, RAW_DATA!$D$2:$D$48, "Y", RAW_DATA!$G$2:$G$48, "진료완료")</f>
        <v>220000</v>
      </c>
      <c r="J15" s="26">
        <f>SUMIFS(RAW_DATA!$I$2:$I$48, RAW_DATA!$E$2:$E$48, A15, RAW_DATA!$D$2:$D$48, "N", RAW_DATA!$G$2:$G$48, "진료완료")</f>
        <v>2479000</v>
      </c>
      <c r="K15" s="25">
        <f t="shared" si="2"/>
        <v>8.1511670989255283E-2</v>
      </c>
    </row>
    <row r="16" spans="1:11">
      <c r="A16" s="34" t="s">
        <v>374</v>
      </c>
      <c r="B16" s="35">
        <f t="shared" ref="B16:D16" si="3">SUM(B10:B15)</f>
        <v>47</v>
      </c>
      <c r="C16" s="35">
        <f t="shared" si="3"/>
        <v>22</v>
      </c>
      <c r="D16" s="35">
        <f t="shared" si="3"/>
        <v>25</v>
      </c>
      <c r="E16" s="36">
        <f t="shared" si="0"/>
        <v>0.46808510638297873</v>
      </c>
      <c r="F16" s="35">
        <f>SUM(F10:F15)</f>
        <v>34</v>
      </c>
      <c r="G16" s="36">
        <f t="shared" si="1"/>
        <v>0.72340425531914898</v>
      </c>
      <c r="H16" s="37">
        <f t="shared" ref="H16:J16" si="4">SUM(H10:H15)</f>
        <v>13804000</v>
      </c>
      <c r="I16" s="37">
        <f t="shared" si="4"/>
        <v>4885000</v>
      </c>
      <c r="J16" s="37">
        <f t="shared" si="4"/>
        <v>8919000</v>
      </c>
      <c r="K16" s="36">
        <f t="shared" si="2"/>
        <v>0.35388293248333819</v>
      </c>
    </row>
    <row r="18" spans="1:10">
      <c r="A18" s="8" t="s">
        <v>378</v>
      </c>
    </row>
    <row r="19" spans="1:10">
      <c r="A19" s="11" t="s">
        <v>379</v>
      </c>
      <c r="B19" s="11" t="s">
        <v>147</v>
      </c>
      <c r="C19" s="11" t="s">
        <v>380</v>
      </c>
      <c r="D19" s="11" t="s">
        <v>381</v>
      </c>
      <c r="E19" s="11" t="s">
        <v>149</v>
      </c>
      <c r="F19" s="11" t="s">
        <v>150</v>
      </c>
      <c r="G19" s="11" t="s">
        <v>151</v>
      </c>
      <c r="H19" s="11" t="s">
        <v>382</v>
      </c>
    </row>
    <row r="20" spans="1:10">
      <c r="A20" s="23" t="s">
        <v>369</v>
      </c>
      <c r="B20" s="24">
        <f>COUNTIFS(RAW_DATA!$H$2:$H$48, A20, RAW_DATA!$G$2:$G$48, "진료완료")</f>
        <v>3</v>
      </c>
      <c r="C20" s="24">
        <f>COUNTIFS(RAW_DATA!$H$2:$H$48, A20, RAW_DATA!$D$2:$D$48, "Y", RAW_DATA!$G$2:$G$48, "진료완료")</f>
        <v>1</v>
      </c>
      <c r="D20" s="24">
        <f>COUNTIFS(RAW_DATA!$H$2:$H$48, A20, RAW_DATA!$D$2:$D$48, "N", RAW_DATA!$G$2:$G$48, "진료완료")</f>
        <v>2</v>
      </c>
      <c r="E20" s="26">
        <f>SUMIFS(RAW_DATA!$I$2:$I$48, RAW_DATA!$H$2:$H$48, A20, RAW_DATA!$G$2:$G$48, "진료완료")</f>
        <v>3600000</v>
      </c>
      <c r="F20" s="26">
        <f>SUMIFS(RAW_DATA!$I$2:$I$48, RAW_DATA!$H$2:$H$48, A20, RAW_DATA!$D$2:$D$48, "Y", RAW_DATA!$G$2:$G$48, "진료완료")</f>
        <v>1200000</v>
      </c>
      <c r="G20" s="26">
        <f>SUMIFS(RAW_DATA!$I$2:$I$48, RAW_DATA!$H$2:$H$48, A20, RAW_DATA!$D$2:$D$48, "N", RAW_DATA!$G$2:$G$48, "진료완료")</f>
        <v>2400000</v>
      </c>
      <c r="H20" s="25">
        <f t="shared" ref="H20:H29" si="5">IFERROR(F20/E20, 0)</f>
        <v>0.33333333333333331</v>
      </c>
    </row>
    <row r="21" spans="1:10">
      <c r="A21" s="23" t="s">
        <v>386</v>
      </c>
      <c r="B21" s="24">
        <f>COUNTIFS(RAW_DATA!$H$2:$H$48, A21, RAW_DATA!$G$2:$G$48, "진료완료")</f>
        <v>2</v>
      </c>
      <c r="C21" s="24">
        <f>COUNTIFS(RAW_DATA!$H$2:$H$48, A21, RAW_DATA!$D$2:$D$48, "Y", RAW_DATA!$G$2:$G$48, "진료완료")</f>
        <v>0</v>
      </c>
      <c r="D21" s="24">
        <f>COUNTIFS(RAW_DATA!$H$2:$H$48, A21, RAW_DATA!$D$2:$D$48, "N", RAW_DATA!$G$2:$G$48, "진료완료")</f>
        <v>2</v>
      </c>
      <c r="E21" s="26">
        <f>SUMIFS(RAW_DATA!$I$2:$I$48, RAW_DATA!$H$2:$H$48, A21, RAW_DATA!$G$2:$G$48, "진료완료")</f>
        <v>2500000</v>
      </c>
      <c r="F21" s="26">
        <f>SUMIFS(RAW_DATA!$I$2:$I$48, RAW_DATA!$H$2:$H$48, A21, RAW_DATA!$D$2:$D$48, "Y", RAW_DATA!$G$2:$G$48, "진료완료")</f>
        <v>0</v>
      </c>
      <c r="G21" s="26">
        <f>SUMIFS(RAW_DATA!$I$2:$I$48, RAW_DATA!$H$2:$H$48, A21, RAW_DATA!$D$2:$D$48, "N", RAW_DATA!$G$2:$G$48, "진료완료")</f>
        <v>2500000</v>
      </c>
      <c r="H21" s="25">
        <f t="shared" si="5"/>
        <v>0</v>
      </c>
    </row>
    <row r="22" spans="1:10">
      <c r="A22" s="23" t="s">
        <v>392</v>
      </c>
      <c r="B22" s="24">
        <f>COUNTIFS(RAW_DATA!$H$2:$H$48, A22, RAW_DATA!$G$2:$G$48, "진료완료")</f>
        <v>1</v>
      </c>
      <c r="C22" s="24">
        <f>COUNTIFS(RAW_DATA!$H$2:$H$48, A22, RAW_DATA!$D$2:$D$48, "Y", RAW_DATA!$G$2:$G$48, "진료완료")</f>
        <v>0</v>
      </c>
      <c r="D22" s="24">
        <f>COUNTIFS(RAW_DATA!$H$2:$H$48, A22, RAW_DATA!$D$2:$D$48, "N", RAW_DATA!$G$2:$G$48, "진료완료")</f>
        <v>1</v>
      </c>
      <c r="E22" s="26">
        <f>SUMIFS(RAW_DATA!$I$2:$I$48, RAW_DATA!$H$2:$H$48, A22, RAW_DATA!$G$2:$G$48, "진료완료")</f>
        <v>2200000</v>
      </c>
      <c r="F22" s="26">
        <f>SUMIFS(RAW_DATA!$I$2:$I$48, RAW_DATA!$H$2:$H$48, A22, RAW_DATA!$D$2:$D$48, "Y", RAW_DATA!$G$2:$G$48, "진료완료")</f>
        <v>0</v>
      </c>
      <c r="G22" s="26">
        <f>SUMIFS(RAW_DATA!$I$2:$I$48, RAW_DATA!$H$2:$H$48, A22, RAW_DATA!$D$2:$D$48, "N", RAW_DATA!$G$2:$G$48, "진료완료")</f>
        <v>2200000</v>
      </c>
      <c r="H22" s="25">
        <f t="shared" si="5"/>
        <v>0</v>
      </c>
    </row>
    <row r="23" spans="1:10">
      <c r="A23" s="23" t="s">
        <v>279</v>
      </c>
      <c r="B23" s="24">
        <f>COUNTIFS(RAW_DATA!$H$2:$H$48, A23, RAW_DATA!$G$2:$G$48, "진료완료")</f>
        <v>2</v>
      </c>
      <c r="C23" s="24">
        <f>COUNTIFS(RAW_DATA!$H$2:$H$48, A23, RAW_DATA!$D$2:$D$48, "Y", RAW_DATA!$G$2:$G$48, "진료완료")</f>
        <v>1</v>
      </c>
      <c r="D23" s="24">
        <f>COUNTIFS(RAW_DATA!$H$2:$H$48, A23, RAW_DATA!$D$2:$D$48, "N", RAW_DATA!$G$2:$G$48, "진료완료")</f>
        <v>1</v>
      </c>
      <c r="E23" s="26">
        <f>SUMIFS(RAW_DATA!$I$2:$I$48, RAW_DATA!$H$2:$H$48, A23, RAW_DATA!$G$2:$G$48, "진료완료")</f>
        <v>1700000</v>
      </c>
      <c r="F23" s="26">
        <f>SUMIFS(RAW_DATA!$I$2:$I$48, RAW_DATA!$H$2:$H$48, A23, RAW_DATA!$D$2:$D$48, "Y", RAW_DATA!$G$2:$G$48, "진료완료")</f>
        <v>850000</v>
      </c>
      <c r="G23" s="26">
        <f>SUMIFS(RAW_DATA!$I$2:$I$48, RAW_DATA!$H$2:$H$48, A23, RAW_DATA!$D$2:$D$48, "N", RAW_DATA!$G$2:$G$48, "진료완료")</f>
        <v>850000</v>
      </c>
      <c r="H23" s="25">
        <f t="shared" si="5"/>
        <v>0.5</v>
      </c>
    </row>
    <row r="24" spans="1:10">
      <c r="A24" s="23" t="s">
        <v>387</v>
      </c>
      <c r="B24" s="24">
        <f>COUNTIFS(RAW_DATA!$H$2:$H$48, A24, RAW_DATA!$G$2:$G$48, "진료완료")</f>
        <v>2</v>
      </c>
      <c r="C24" s="24">
        <f>COUNTIFS(RAW_DATA!$H$2:$H$48, A24, RAW_DATA!$D$2:$D$48, "Y", RAW_DATA!$G$2:$G$48, "진료완료")</f>
        <v>2</v>
      </c>
      <c r="D24" s="24">
        <f>COUNTIFS(RAW_DATA!$H$2:$H$48, A24, RAW_DATA!$D$2:$D$48, "N", RAW_DATA!$G$2:$G$48, "진료완료")</f>
        <v>0</v>
      </c>
      <c r="E24" s="26">
        <f>SUMIFS(RAW_DATA!$I$2:$I$48, RAW_DATA!$H$2:$H$48, A24, RAW_DATA!$G$2:$G$48, "진료완료")</f>
        <v>900000</v>
      </c>
      <c r="F24" s="26">
        <f>SUMIFS(RAW_DATA!$I$2:$I$48, RAW_DATA!$H$2:$H$48, A24, RAW_DATA!$D$2:$D$48, "Y", RAW_DATA!$G$2:$G$48, "진료완료")</f>
        <v>900000</v>
      </c>
      <c r="G24" s="26">
        <f>SUMIFS(RAW_DATA!$I$2:$I$48, RAW_DATA!$H$2:$H$48, A24, RAW_DATA!$D$2:$D$48, "N", RAW_DATA!$G$2:$G$48, "진료완료")</f>
        <v>0</v>
      </c>
      <c r="H24" s="25">
        <f t="shared" si="5"/>
        <v>1</v>
      </c>
    </row>
    <row r="25" spans="1:10">
      <c r="A25" s="23" t="s">
        <v>370</v>
      </c>
      <c r="B25" s="24">
        <f>COUNTIFS(RAW_DATA!$H$2:$H$48, A25, RAW_DATA!$G$2:$G$48, "진료완료")</f>
        <v>2</v>
      </c>
      <c r="C25" s="24">
        <f>COUNTIFS(RAW_DATA!$H$2:$H$48, A25, RAW_DATA!$D$2:$D$48, "Y", RAW_DATA!$G$2:$G$48, "진료완료")</f>
        <v>2</v>
      </c>
      <c r="D25" s="24">
        <f>COUNTIFS(RAW_DATA!$H$2:$H$48, A25, RAW_DATA!$D$2:$D$48, "N", RAW_DATA!$G$2:$G$48, "진료완료")</f>
        <v>0</v>
      </c>
      <c r="E25" s="26">
        <f>SUMIFS(RAW_DATA!$I$2:$I$48, RAW_DATA!$H$2:$H$48, A25, RAW_DATA!$G$2:$G$48, "진료완료")</f>
        <v>580000</v>
      </c>
      <c r="F25" s="26">
        <f>SUMIFS(RAW_DATA!$I$2:$I$48, RAW_DATA!$H$2:$H$48, A25, RAW_DATA!$D$2:$D$48, "Y", RAW_DATA!$G$2:$G$48, "진료완료")</f>
        <v>580000</v>
      </c>
      <c r="G25" s="26">
        <f>SUMIFS(RAW_DATA!$I$2:$I$48, RAW_DATA!$H$2:$H$48, A25, RAW_DATA!$D$2:$D$48, "N", RAW_DATA!$G$2:$G$48, "진료완료")</f>
        <v>0</v>
      </c>
      <c r="H25" s="25">
        <f t="shared" si="5"/>
        <v>1</v>
      </c>
    </row>
    <row r="26" spans="1:10">
      <c r="A26" s="23" t="s">
        <v>376</v>
      </c>
      <c r="B26" s="24">
        <f>COUNTIFS(RAW_DATA!$H$2:$H$48, A26, RAW_DATA!$G$2:$G$48, "진료완료")</f>
        <v>1</v>
      </c>
      <c r="C26" s="24">
        <f>COUNTIFS(RAW_DATA!$H$2:$H$48, A26, RAW_DATA!$D$2:$D$48, "Y", RAW_DATA!$G$2:$G$48, "진료완료")</f>
        <v>0</v>
      </c>
      <c r="D26" s="24">
        <f>COUNTIFS(RAW_DATA!$H$2:$H$48, A26, RAW_DATA!$D$2:$D$48, "N", RAW_DATA!$G$2:$G$48, "진료완료")</f>
        <v>1</v>
      </c>
      <c r="E26" s="26">
        <f>SUMIFS(RAW_DATA!$I$2:$I$48, RAW_DATA!$H$2:$H$48, A26, RAW_DATA!$G$2:$G$48, "진료완료")</f>
        <v>150000</v>
      </c>
      <c r="F26" s="26">
        <f>SUMIFS(RAW_DATA!$I$2:$I$48, RAW_DATA!$H$2:$H$48, A26, RAW_DATA!$D$2:$D$48, "Y", RAW_DATA!$G$2:$G$48, "진료완료")</f>
        <v>0</v>
      </c>
      <c r="G26" s="26">
        <f>SUMIFS(RAW_DATA!$I$2:$I$48, RAW_DATA!$H$2:$H$48, A26, RAW_DATA!$D$2:$D$48, "N", RAW_DATA!$G$2:$G$48, "진료완료")</f>
        <v>150000</v>
      </c>
      <c r="H26" s="25">
        <f t="shared" si="5"/>
        <v>0</v>
      </c>
    </row>
    <row r="27" spans="1:10">
      <c r="A27" s="23" t="s">
        <v>364</v>
      </c>
      <c r="B27" s="24">
        <f>COUNTIFS(RAW_DATA!$H$2:$H$48, A27, RAW_DATA!$G$2:$G$48, "진료완료")</f>
        <v>5</v>
      </c>
      <c r="C27" s="24">
        <f>COUNTIFS(RAW_DATA!$H$2:$H$48, A27, RAW_DATA!$D$2:$D$48, "Y", RAW_DATA!$G$2:$G$48, "진료완료")</f>
        <v>1</v>
      </c>
      <c r="D27" s="24">
        <f>COUNTIFS(RAW_DATA!$H$2:$H$48, A27, RAW_DATA!$D$2:$D$48, "N", RAW_DATA!$G$2:$G$48, "진료완료")</f>
        <v>4</v>
      </c>
      <c r="E27" s="26">
        <f>SUMIFS(RAW_DATA!$I$2:$I$48, RAW_DATA!$H$2:$H$48, A27, RAW_DATA!$G$2:$G$48, "진료완료")</f>
        <v>225000</v>
      </c>
      <c r="F27" s="26">
        <f>SUMIFS(RAW_DATA!$I$2:$I$48, RAW_DATA!$H$2:$H$48, A27, RAW_DATA!$D$2:$D$48, "Y", RAW_DATA!$G$2:$G$48, "진료완료")</f>
        <v>45000</v>
      </c>
      <c r="G27" s="26">
        <f>SUMIFS(RAW_DATA!$I$2:$I$48, RAW_DATA!$H$2:$H$48, A27, RAW_DATA!$D$2:$D$48, "N", RAW_DATA!$G$2:$G$48, "진료완료")</f>
        <v>180000</v>
      </c>
      <c r="H27" s="25">
        <f t="shared" si="5"/>
        <v>0.2</v>
      </c>
    </row>
    <row r="28" spans="1:10">
      <c r="A28" s="23" t="s">
        <v>420</v>
      </c>
      <c r="B28" s="24">
        <f t="shared" ref="B28:D28" si="6">B16-SUM(B20:B27)</f>
        <v>29</v>
      </c>
      <c r="C28" s="24">
        <f t="shared" si="6"/>
        <v>15</v>
      </c>
      <c r="D28" s="24">
        <f t="shared" si="6"/>
        <v>14</v>
      </c>
      <c r="E28" s="26">
        <f t="shared" ref="E28:G28" si="7">H16-SUM(E20:E27)</f>
        <v>1949000</v>
      </c>
      <c r="F28" s="26">
        <f t="shared" si="7"/>
        <v>1310000</v>
      </c>
      <c r="G28" s="26">
        <f t="shared" si="7"/>
        <v>639000</v>
      </c>
      <c r="H28" s="25">
        <f t="shared" si="5"/>
        <v>0.67213955874807596</v>
      </c>
    </row>
    <row r="29" spans="1:10">
      <c r="A29" s="34" t="s">
        <v>374</v>
      </c>
      <c r="B29" s="35">
        <f t="shared" ref="B29:G29" si="8">SUM(B20:B28)</f>
        <v>47</v>
      </c>
      <c r="C29" s="35">
        <f t="shared" si="8"/>
        <v>22</v>
      </c>
      <c r="D29" s="35">
        <f t="shared" si="8"/>
        <v>25</v>
      </c>
      <c r="E29" s="37">
        <f t="shared" si="8"/>
        <v>13804000</v>
      </c>
      <c r="F29" s="37">
        <f t="shared" si="8"/>
        <v>4885000</v>
      </c>
      <c r="G29" s="37">
        <f t="shared" si="8"/>
        <v>8919000</v>
      </c>
      <c r="H29" s="36">
        <f t="shared" si="5"/>
        <v>0.35388293248333819</v>
      </c>
    </row>
    <row r="31" spans="1:10">
      <c r="A31" s="8" t="s">
        <v>422</v>
      </c>
    </row>
    <row r="32" spans="1:10">
      <c r="A32" s="11" t="s">
        <v>142</v>
      </c>
      <c r="B32" s="11" t="s">
        <v>143</v>
      </c>
      <c r="C32" s="11" t="s">
        <v>423</v>
      </c>
      <c r="D32" s="11" t="s">
        <v>424</v>
      </c>
      <c r="E32" s="11" t="s">
        <v>425</v>
      </c>
      <c r="F32" s="11" t="s">
        <v>426</v>
      </c>
      <c r="G32" s="11" t="s">
        <v>427</v>
      </c>
      <c r="H32" s="11" t="s">
        <v>428</v>
      </c>
      <c r="I32" s="11" t="s">
        <v>429</v>
      </c>
      <c r="J32" s="11" t="s">
        <v>430</v>
      </c>
    </row>
    <row r="33" spans="1:10" ht="29">
      <c r="A33" s="23" t="s">
        <v>153</v>
      </c>
      <c r="B33" s="24">
        <f>COUNTIF(RAW_DATA!$E$2:$E$48, A33)</f>
        <v>7</v>
      </c>
      <c r="C33" s="24">
        <f>COUNTIFS(RAW_DATA!$E$2:$E$48, A33, RAW_DATA!$G$2:$G$48, "노쇼")</f>
        <v>1</v>
      </c>
      <c r="D33" s="24">
        <f>COUNTIFS(RAW_DATA!$E$2:$E$48, A33, RAW_DATA!$G$2:$G$48, "예약취소")</f>
        <v>1</v>
      </c>
      <c r="E33" s="24">
        <f t="shared" ref="E33:E38" si="9">C33+D33</f>
        <v>2</v>
      </c>
      <c r="F33" s="25">
        <f t="shared" ref="F33:F39" si="10">IFERROR(C33/B33, 0)</f>
        <v>0.14285714285714285</v>
      </c>
      <c r="G33" s="25">
        <f t="shared" ref="G33:G39" si="11">IFERROR(D33/B33, 0)</f>
        <v>0.14285714285714285</v>
      </c>
      <c r="H33" s="25">
        <f t="shared" ref="H33:H39" si="12">IFERROR(E33/B33, 0)</f>
        <v>0.2857142857142857</v>
      </c>
      <c r="I33" s="62" t="str">
        <f t="shared" ref="I33:I39" si="13">IF(H33&gt;=0.4, "고위험", IF(H33&gt;=0.2, "주의", "안정"))</f>
        <v>주의</v>
      </c>
      <c r="J33" s="63" t="s">
        <v>434</v>
      </c>
    </row>
    <row r="34" spans="1:10" ht="29">
      <c r="A34" s="23" t="s">
        <v>178</v>
      </c>
      <c r="B34" s="24">
        <f>COUNTIF(RAW_DATA!$E$2:$E$48, A34)</f>
        <v>9</v>
      </c>
      <c r="C34" s="24">
        <f>COUNTIFS(RAW_DATA!$E$2:$E$48, A34, RAW_DATA!$G$2:$G$48, "노쇼")</f>
        <v>0</v>
      </c>
      <c r="D34" s="24">
        <f>COUNTIFS(RAW_DATA!$E$2:$E$48, A34, RAW_DATA!$G$2:$G$48, "예약취소")</f>
        <v>0</v>
      </c>
      <c r="E34" s="24">
        <f t="shared" si="9"/>
        <v>0</v>
      </c>
      <c r="F34" s="25">
        <f t="shared" si="10"/>
        <v>0</v>
      </c>
      <c r="G34" s="25">
        <f t="shared" si="11"/>
        <v>0</v>
      </c>
      <c r="H34" s="25">
        <f t="shared" si="12"/>
        <v>0</v>
      </c>
      <c r="I34" s="62" t="str">
        <f t="shared" si="13"/>
        <v>안정</v>
      </c>
      <c r="J34" s="63" t="s">
        <v>435</v>
      </c>
    </row>
    <row r="35" spans="1:10" ht="29">
      <c r="A35" s="23" t="s">
        <v>244</v>
      </c>
      <c r="B35" s="24">
        <f>COUNTIF(RAW_DATA!$E$2:$E$48, A35)</f>
        <v>7</v>
      </c>
      <c r="C35" s="24">
        <f>COUNTIFS(RAW_DATA!$E$2:$E$48, A35, RAW_DATA!$G$2:$G$48, "노쇼")</f>
        <v>2</v>
      </c>
      <c r="D35" s="24">
        <f>COUNTIFS(RAW_DATA!$E$2:$E$48, A35, RAW_DATA!$G$2:$G$48, "예약취소")</f>
        <v>2</v>
      </c>
      <c r="E35" s="24">
        <f t="shared" si="9"/>
        <v>4</v>
      </c>
      <c r="F35" s="25">
        <f t="shared" si="10"/>
        <v>0.2857142857142857</v>
      </c>
      <c r="G35" s="25">
        <f t="shared" si="11"/>
        <v>0.2857142857142857</v>
      </c>
      <c r="H35" s="25">
        <f t="shared" si="12"/>
        <v>0.5714285714285714</v>
      </c>
      <c r="I35" s="62" t="str">
        <f t="shared" si="13"/>
        <v>고위험</v>
      </c>
      <c r="J35" s="63" t="s">
        <v>436</v>
      </c>
    </row>
    <row r="36" spans="1:10" ht="14.5">
      <c r="A36" s="23" t="s">
        <v>250</v>
      </c>
      <c r="B36" s="24">
        <f>COUNTIF(RAW_DATA!$E$2:$E$48, A36)</f>
        <v>5</v>
      </c>
      <c r="C36" s="24">
        <f>COUNTIFS(RAW_DATA!$E$2:$E$48, A36, RAW_DATA!$G$2:$G$48, "노쇼")</f>
        <v>1</v>
      </c>
      <c r="D36" s="24">
        <f>COUNTIFS(RAW_DATA!$E$2:$E$48, A36, RAW_DATA!$G$2:$G$48, "예약취소")</f>
        <v>1</v>
      </c>
      <c r="E36" s="24">
        <f t="shared" si="9"/>
        <v>2</v>
      </c>
      <c r="F36" s="25">
        <f t="shared" si="10"/>
        <v>0.2</v>
      </c>
      <c r="G36" s="25">
        <f t="shared" si="11"/>
        <v>0.2</v>
      </c>
      <c r="H36" s="25">
        <f t="shared" si="12"/>
        <v>0.4</v>
      </c>
      <c r="I36" s="62" t="str">
        <f t="shared" si="13"/>
        <v>고위험</v>
      </c>
      <c r="J36" s="63" t="s">
        <v>437</v>
      </c>
    </row>
    <row r="37" spans="1:10" ht="29">
      <c r="A37" s="23" t="s">
        <v>274</v>
      </c>
      <c r="B37" s="24">
        <f>COUNTIF(RAW_DATA!$E$2:$E$48, A37)</f>
        <v>9</v>
      </c>
      <c r="C37" s="24">
        <f>COUNTIFS(RAW_DATA!$E$2:$E$48, A37, RAW_DATA!$G$2:$G$48, "노쇼")</f>
        <v>2</v>
      </c>
      <c r="D37" s="24">
        <f>COUNTIFS(RAW_DATA!$E$2:$E$48, A37, RAW_DATA!$G$2:$G$48, "예약취소")</f>
        <v>0</v>
      </c>
      <c r="E37" s="24">
        <f t="shared" si="9"/>
        <v>2</v>
      </c>
      <c r="F37" s="25">
        <f t="shared" si="10"/>
        <v>0.22222222222222221</v>
      </c>
      <c r="G37" s="25">
        <f t="shared" si="11"/>
        <v>0</v>
      </c>
      <c r="H37" s="25">
        <f t="shared" si="12"/>
        <v>0.22222222222222221</v>
      </c>
      <c r="I37" s="62" t="str">
        <f t="shared" si="13"/>
        <v>주의</v>
      </c>
      <c r="J37" s="63" t="s">
        <v>438</v>
      </c>
    </row>
    <row r="38" spans="1:10" ht="14.5">
      <c r="A38" s="23" t="s">
        <v>362</v>
      </c>
      <c r="B38" s="24">
        <f>COUNTIF(RAW_DATA!$E$2:$E$48, A38)</f>
        <v>10</v>
      </c>
      <c r="C38" s="24">
        <f>COUNTIFS(RAW_DATA!$E$2:$E$48, A38, RAW_DATA!$G$2:$G$48, "노쇼")</f>
        <v>1</v>
      </c>
      <c r="D38" s="24">
        <f>COUNTIFS(RAW_DATA!$E$2:$E$48, A38, RAW_DATA!$G$2:$G$48, "예약취소")</f>
        <v>2</v>
      </c>
      <c r="E38" s="24">
        <f t="shared" si="9"/>
        <v>3</v>
      </c>
      <c r="F38" s="25">
        <f t="shared" si="10"/>
        <v>0.1</v>
      </c>
      <c r="G38" s="25">
        <f t="shared" si="11"/>
        <v>0.2</v>
      </c>
      <c r="H38" s="25">
        <f t="shared" si="12"/>
        <v>0.3</v>
      </c>
      <c r="I38" s="62" t="str">
        <f t="shared" si="13"/>
        <v>주의</v>
      </c>
      <c r="J38" s="63" t="s">
        <v>439</v>
      </c>
    </row>
    <row r="39" spans="1:10" ht="29">
      <c r="A39" s="34" t="s">
        <v>440</v>
      </c>
      <c r="B39" s="35">
        <f t="shared" ref="B39:E39" si="14">SUM(B33:B38)</f>
        <v>47</v>
      </c>
      <c r="C39" s="35">
        <f t="shared" si="14"/>
        <v>7</v>
      </c>
      <c r="D39" s="35">
        <f t="shared" si="14"/>
        <v>6</v>
      </c>
      <c r="E39" s="35">
        <f t="shared" si="14"/>
        <v>13</v>
      </c>
      <c r="F39" s="36">
        <f t="shared" si="10"/>
        <v>0.14893617021276595</v>
      </c>
      <c r="G39" s="36">
        <f t="shared" si="11"/>
        <v>0.1276595744680851</v>
      </c>
      <c r="H39" s="36">
        <f t="shared" si="12"/>
        <v>0.27659574468085107</v>
      </c>
      <c r="I39" s="64" t="str">
        <f t="shared" si="13"/>
        <v>주의</v>
      </c>
      <c r="J39" s="65" t="s">
        <v>441</v>
      </c>
    </row>
  </sheetData>
  <phoneticPr fontId="2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  <outlinePr summaryBelow="0" summaryRight="0"/>
  </sheetPr>
  <dimension ref="A1:G32"/>
  <sheetViews>
    <sheetView workbookViewId="0"/>
  </sheetViews>
  <sheetFormatPr defaultColWidth="14.453125" defaultRowHeight="15" customHeight="1"/>
  <cols>
    <col min="1" max="2" width="19.453125" customWidth="1"/>
    <col min="3" max="3" width="25.81640625" customWidth="1"/>
    <col min="4" max="4" width="68.7265625" customWidth="1"/>
    <col min="5" max="5" width="37.26953125" customWidth="1"/>
    <col min="6" max="6" width="33" bestFit="1" customWidth="1"/>
    <col min="7" max="7" width="18.7265625" customWidth="1"/>
  </cols>
  <sheetData>
    <row r="1" spans="1:7">
      <c r="A1" s="4" t="s">
        <v>7</v>
      </c>
    </row>
    <row r="2" spans="1:7">
      <c r="A2" s="5" t="s">
        <v>10</v>
      </c>
    </row>
    <row r="4" spans="1:7">
      <c r="A4" s="8" t="s">
        <v>11</v>
      </c>
    </row>
    <row r="5" spans="1:7">
      <c r="A5" s="11" t="s">
        <v>12</v>
      </c>
      <c r="B5" s="11" t="s">
        <v>15</v>
      </c>
      <c r="C5" s="11" t="s">
        <v>17</v>
      </c>
      <c r="D5" s="11" t="s">
        <v>18</v>
      </c>
      <c r="E5" s="11" t="s">
        <v>19</v>
      </c>
      <c r="F5" s="11" t="s">
        <v>20</v>
      </c>
      <c r="G5" s="11" t="s">
        <v>21</v>
      </c>
    </row>
    <row r="6" spans="1:7">
      <c r="A6" s="12" t="s">
        <v>23</v>
      </c>
      <c r="B6" s="13" t="s">
        <v>24</v>
      </c>
      <c r="C6" s="14" t="s">
        <v>25</v>
      </c>
      <c r="D6" s="15" t="s">
        <v>26</v>
      </c>
      <c r="E6" s="16" t="s">
        <v>27</v>
      </c>
      <c r="F6" s="17" t="s">
        <v>28</v>
      </c>
      <c r="G6" s="16" t="s">
        <v>29</v>
      </c>
    </row>
    <row r="7" spans="1:7">
      <c r="A7" s="12" t="s">
        <v>23</v>
      </c>
      <c r="B7" s="13" t="s">
        <v>30</v>
      </c>
      <c r="C7" s="14" t="s">
        <v>25</v>
      </c>
      <c r="D7" s="15" t="s">
        <v>31</v>
      </c>
      <c r="E7" s="16" t="s">
        <v>27</v>
      </c>
      <c r="F7" s="17" t="s">
        <v>32</v>
      </c>
      <c r="G7" s="16" t="s">
        <v>33</v>
      </c>
    </row>
    <row r="8" spans="1:7">
      <c r="A8" s="12" t="s">
        <v>23</v>
      </c>
      <c r="B8" s="13" t="s">
        <v>34</v>
      </c>
      <c r="C8" s="14" t="s">
        <v>35</v>
      </c>
      <c r="D8" s="15" t="s">
        <v>36</v>
      </c>
      <c r="E8" s="16" t="s">
        <v>27</v>
      </c>
      <c r="F8" s="17" t="s">
        <v>37</v>
      </c>
      <c r="G8" s="16" t="s">
        <v>38</v>
      </c>
    </row>
    <row r="9" spans="1:7">
      <c r="A9" s="12" t="s">
        <v>23</v>
      </c>
      <c r="B9" s="13" t="s">
        <v>39</v>
      </c>
      <c r="C9" s="14" t="s">
        <v>25</v>
      </c>
      <c r="D9" s="15" t="s">
        <v>36</v>
      </c>
      <c r="E9" s="16" t="s">
        <v>27</v>
      </c>
      <c r="F9" s="17" t="s">
        <v>40</v>
      </c>
      <c r="G9" s="16" t="s">
        <v>41</v>
      </c>
    </row>
    <row r="10" spans="1:7">
      <c r="A10" s="12" t="s">
        <v>23</v>
      </c>
      <c r="B10" s="13" t="s">
        <v>42</v>
      </c>
      <c r="C10" s="14" t="s">
        <v>43</v>
      </c>
      <c r="D10" s="15" t="s">
        <v>44</v>
      </c>
      <c r="E10" s="16" t="s">
        <v>27</v>
      </c>
      <c r="F10" s="17" t="s">
        <v>45</v>
      </c>
      <c r="G10" s="16" t="s">
        <v>46</v>
      </c>
    </row>
    <row r="11" spans="1:7">
      <c r="A11" s="12" t="s">
        <v>23</v>
      </c>
      <c r="B11" s="13" t="s">
        <v>47</v>
      </c>
      <c r="C11" s="14" t="s">
        <v>48</v>
      </c>
      <c r="D11" s="15" t="s">
        <v>36</v>
      </c>
      <c r="E11" s="16" t="s">
        <v>27</v>
      </c>
      <c r="F11" s="17" t="s">
        <v>49</v>
      </c>
      <c r="G11" s="16" t="s">
        <v>50</v>
      </c>
    </row>
    <row r="12" spans="1:7">
      <c r="A12" s="12" t="s">
        <v>51</v>
      </c>
      <c r="B12" s="13" t="s">
        <v>52</v>
      </c>
      <c r="C12" s="14" t="s">
        <v>48</v>
      </c>
      <c r="D12" s="15" t="s">
        <v>36</v>
      </c>
      <c r="E12" s="16" t="s">
        <v>27</v>
      </c>
      <c r="F12" s="17" t="s">
        <v>53</v>
      </c>
      <c r="G12" s="16" t="s">
        <v>55</v>
      </c>
    </row>
    <row r="13" spans="1:7">
      <c r="A13" s="12" t="s">
        <v>51</v>
      </c>
      <c r="B13" s="13" t="s">
        <v>56</v>
      </c>
      <c r="C13" s="14" t="s">
        <v>57</v>
      </c>
      <c r="D13" s="15" t="s">
        <v>36</v>
      </c>
      <c r="E13" s="16" t="s">
        <v>27</v>
      </c>
      <c r="F13" s="17" t="s">
        <v>58</v>
      </c>
      <c r="G13" s="16" t="s">
        <v>59</v>
      </c>
    </row>
    <row r="14" spans="1:7">
      <c r="A14" s="12" t="s">
        <v>51</v>
      </c>
      <c r="B14" s="13" t="s">
        <v>24</v>
      </c>
      <c r="C14" s="14" t="s">
        <v>25</v>
      </c>
      <c r="D14" s="15" t="s">
        <v>60</v>
      </c>
      <c r="E14" s="16" t="s">
        <v>61</v>
      </c>
      <c r="F14" s="17" t="s">
        <v>62</v>
      </c>
      <c r="G14" s="16" t="s">
        <v>63</v>
      </c>
    </row>
    <row r="15" spans="1:7">
      <c r="A15" s="12" t="s">
        <v>51</v>
      </c>
      <c r="B15" s="13" t="s">
        <v>64</v>
      </c>
      <c r="C15" s="14" t="s">
        <v>65</v>
      </c>
      <c r="D15" s="15" t="s">
        <v>66</v>
      </c>
      <c r="E15" s="16" t="s">
        <v>27</v>
      </c>
      <c r="F15" s="17" t="s">
        <v>67</v>
      </c>
      <c r="G15" s="16" t="s">
        <v>68</v>
      </c>
    </row>
    <row r="16" spans="1:7">
      <c r="A16" s="12" t="s">
        <v>51</v>
      </c>
      <c r="B16" s="13" t="s">
        <v>69</v>
      </c>
      <c r="C16" s="14" t="s">
        <v>35</v>
      </c>
      <c r="D16" s="15" t="s">
        <v>70</v>
      </c>
      <c r="E16" s="16" t="s">
        <v>27</v>
      </c>
      <c r="F16" s="17" t="s">
        <v>71</v>
      </c>
      <c r="G16" s="16" t="s">
        <v>72</v>
      </c>
    </row>
    <row r="17" spans="1:7">
      <c r="A17" s="12" t="s">
        <v>51</v>
      </c>
      <c r="B17" s="13" t="s">
        <v>73</v>
      </c>
      <c r="C17" s="14" t="s">
        <v>25</v>
      </c>
      <c r="D17" s="15" t="s">
        <v>74</v>
      </c>
      <c r="E17" s="16" t="s">
        <v>75</v>
      </c>
      <c r="F17" s="17" t="s">
        <v>76</v>
      </c>
      <c r="G17" s="16" t="s">
        <v>77</v>
      </c>
    </row>
    <row r="18" spans="1:7">
      <c r="A18" s="12" t="s">
        <v>51</v>
      </c>
      <c r="B18" s="13" t="s">
        <v>78</v>
      </c>
      <c r="C18" s="14" t="s">
        <v>25</v>
      </c>
      <c r="D18" s="15" t="s">
        <v>79</v>
      </c>
      <c r="E18" s="16" t="s">
        <v>27</v>
      </c>
      <c r="F18" s="17" t="s">
        <v>80</v>
      </c>
      <c r="G18" s="16" t="s">
        <v>81</v>
      </c>
    </row>
    <row r="19" spans="1:7">
      <c r="A19" s="12" t="s">
        <v>51</v>
      </c>
      <c r="B19" s="13" t="s">
        <v>82</v>
      </c>
      <c r="C19" s="14" t="s">
        <v>83</v>
      </c>
      <c r="D19" s="15" t="s">
        <v>36</v>
      </c>
      <c r="E19" s="16" t="s">
        <v>84</v>
      </c>
      <c r="F19" s="17" t="s">
        <v>85</v>
      </c>
      <c r="G19" s="16" t="s">
        <v>86</v>
      </c>
    </row>
    <row r="20" spans="1:7">
      <c r="A20" s="12" t="s">
        <v>51</v>
      </c>
      <c r="B20" s="13" t="s">
        <v>87</v>
      </c>
      <c r="C20" s="14" t="s">
        <v>88</v>
      </c>
      <c r="D20" s="15" t="s">
        <v>89</v>
      </c>
      <c r="E20" s="16" t="s">
        <v>27</v>
      </c>
      <c r="F20" s="17" t="s">
        <v>90</v>
      </c>
      <c r="G20" s="16" t="s">
        <v>91</v>
      </c>
    </row>
    <row r="21" spans="1:7">
      <c r="A21" s="12" t="s">
        <v>51</v>
      </c>
      <c r="B21" s="13" t="s">
        <v>92</v>
      </c>
      <c r="C21" s="14" t="s">
        <v>88</v>
      </c>
      <c r="D21" s="15" t="s">
        <v>89</v>
      </c>
      <c r="E21" s="16" t="s">
        <v>27</v>
      </c>
      <c r="F21" s="17" t="s">
        <v>93</v>
      </c>
      <c r="G21" s="16" t="s">
        <v>94</v>
      </c>
    </row>
    <row r="23" spans="1:7">
      <c r="A23" s="8" t="s">
        <v>95</v>
      </c>
    </row>
    <row r="24" spans="1:7">
      <c r="A24" s="11" t="s">
        <v>97</v>
      </c>
      <c r="B24" s="11" t="s">
        <v>98</v>
      </c>
      <c r="C24" s="11" t="s">
        <v>99</v>
      </c>
      <c r="D24" s="11" t="s">
        <v>100</v>
      </c>
      <c r="E24" s="11" t="s">
        <v>101</v>
      </c>
      <c r="F24" s="11" t="s">
        <v>21</v>
      </c>
    </row>
    <row r="25" spans="1:7" ht="117">
      <c r="A25" s="12" t="s">
        <v>102</v>
      </c>
      <c r="B25" s="16" t="s">
        <v>103</v>
      </c>
      <c r="C25" s="19" t="s">
        <v>104</v>
      </c>
      <c r="D25" s="20" t="s">
        <v>105</v>
      </c>
      <c r="E25" s="19" t="s">
        <v>106</v>
      </c>
      <c r="F25" s="16" t="s">
        <v>107</v>
      </c>
    </row>
    <row r="26" spans="1:7" ht="91">
      <c r="A26" s="12" t="s">
        <v>108</v>
      </c>
      <c r="B26" s="16" t="s">
        <v>109</v>
      </c>
      <c r="C26" s="19" t="s">
        <v>110</v>
      </c>
      <c r="D26" s="20" t="s">
        <v>111</v>
      </c>
      <c r="E26" s="19" t="s">
        <v>112</v>
      </c>
      <c r="F26" s="16" t="s">
        <v>113</v>
      </c>
    </row>
    <row r="27" spans="1:7" ht="58">
      <c r="A27" s="12" t="s">
        <v>114</v>
      </c>
      <c r="B27" s="16" t="s">
        <v>115</v>
      </c>
      <c r="C27" s="19" t="s">
        <v>116</v>
      </c>
      <c r="D27" s="20" t="s">
        <v>117</v>
      </c>
      <c r="E27" s="19" t="s">
        <v>118</v>
      </c>
      <c r="F27" s="16" t="s">
        <v>119</v>
      </c>
    </row>
    <row r="29" spans="1:7">
      <c r="A29" s="8" t="s">
        <v>120</v>
      </c>
    </row>
    <row r="30" spans="1:7">
      <c r="A30" s="11" t="s">
        <v>97</v>
      </c>
      <c r="B30" s="11" t="s">
        <v>98</v>
      </c>
      <c r="C30" s="11" t="s">
        <v>121</v>
      </c>
      <c r="D30" s="11" t="s">
        <v>100</v>
      </c>
      <c r="E30" s="11" t="s">
        <v>122</v>
      </c>
      <c r="F30" s="11" t="s">
        <v>21</v>
      </c>
    </row>
    <row r="31" spans="1:7" ht="234">
      <c r="A31" s="12" t="s">
        <v>123</v>
      </c>
      <c r="B31" s="16" t="s">
        <v>124</v>
      </c>
      <c r="C31" s="19" t="s">
        <v>125</v>
      </c>
      <c r="D31" s="20" t="s">
        <v>127</v>
      </c>
      <c r="E31" s="19" t="s">
        <v>128</v>
      </c>
      <c r="F31" s="16" t="s">
        <v>129</v>
      </c>
    </row>
    <row r="32" spans="1:7" ht="221">
      <c r="A32" s="12" t="s">
        <v>130</v>
      </c>
      <c r="B32" s="16" t="s">
        <v>131</v>
      </c>
      <c r="C32" s="19" t="s">
        <v>132</v>
      </c>
      <c r="D32" s="20" t="s">
        <v>133</v>
      </c>
      <c r="E32" s="19" t="s">
        <v>134</v>
      </c>
      <c r="F32" s="16" t="s">
        <v>135</v>
      </c>
    </row>
  </sheetData>
  <phoneticPr fontId="2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1:G19"/>
  <sheetViews>
    <sheetView workbookViewId="0">
      <selection activeCell="A18" sqref="A18"/>
    </sheetView>
  </sheetViews>
  <sheetFormatPr defaultColWidth="14.453125" defaultRowHeight="15" customHeight="1"/>
  <cols>
    <col min="1" max="1" width="27.7265625" customWidth="1"/>
    <col min="2" max="2" width="27.26953125" customWidth="1"/>
    <col min="3" max="3" width="25.81640625" customWidth="1"/>
    <col min="4" max="4" width="31.54296875" customWidth="1"/>
    <col min="5" max="5" width="45.81640625" customWidth="1"/>
    <col min="6" max="6" width="37.26953125" customWidth="1"/>
    <col min="7" max="7" width="30.81640625" customWidth="1"/>
  </cols>
  <sheetData>
    <row r="1" spans="1:7">
      <c r="A1" s="4" t="s">
        <v>154</v>
      </c>
    </row>
    <row r="2" spans="1:7">
      <c r="A2" s="5" t="s">
        <v>155</v>
      </c>
    </row>
    <row r="4" spans="1:7">
      <c r="A4" s="8" t="s">
        <v>156</v>
      </c>
    </row>
    <row r="5" spans="1:7">
      <c r="A5" s="11" t="s">
        <v>157</v>
      </c>
      <c r="B5" s="11" t="s">
        <v>158</v>
      </c>
      <c r="C5" s="11" t="s">
        <v>159</v>
      </c>
      <c r="D5" s="11" t="s">
        <v>160</v>
      </c>
      <c r="E5" s="11" t="s">
        <v>161</v>
      </c>
      <c r="F5" s="11" t="s">
        <v>162</v>
      </c>
      <c r="G5" s="11" t="s">
        <v>163</v>
      </c>
    </row>
    <row r="6" spans="1:7" ht="29">
      <c r="A6" s="12" t="s">
        <v>164</v>
      </c>
      <c r="B6" s="16" t="s">
        <v>24</v>
      </c>
      <c r="C6" s="16" t="s">
        <v>165</v>
      </c>
      <c r="D6" s="19" t="s">
        <v>166</v>
      </c>
      <c r="E6" s="27" t="s">
        <v>167</v>
      </c>
      <c r="F6" s="19" t="s">
        <v>168</v>
      </c>
      <c r="G6" s="16" t="s">
        <v>169</v>
      </c>
    </row>
    <row r="7" spans="1:7" ht="36">
      <c r="A7" s="12" t="s">
        <v>170</v>
      </c>
      <c r="B7" s="16" t="s">
        <v>171</v>
      </c>
      <c r="C7" s="16" t="s">
        <v>172</v>
      </c>
      <c r="D7" s="19" t="s">
        <v>173</v>
      </c>
      <c r="E7" s="27" t="s">
        <v>174</v>
      </c>
      <c r="F7" s="19" t="s">
        <v>175</v>
      </c>
      <c r="G7" s="16" t="s">
        <v>176</v>
      </c>
    </row>
    <row r="8" spans="1:7" ht="29">
      <c r="A8" s="12" t="s">
        <v>177</v>
      </c>
      <c r="B8" s="16" t="s">
        <v>92</v>
      </c>
      <c r="C8" s="16" t="s">
        <v>179</v>
      </c>
      <c r="D8" s="19" t="s">
        <v>180</v>
      </c>
      <c r="E8" s="27" t="s">
        <v>181</v>
      </c>
      <c r="F8" s="19" t="s">
        <v>182</v>
      </c>
      <c r="G8" s="16" t="s">
        <v>183</v>
      </c>
    </row>
    <row r="9" spans="1:7" ht="29">
      <c r="A9" s="12" t="s">
        <v>184</v>
      </c>
      <c r="B9" s="16" t="s">
        <v>185</v>
      </c>
      <c r="C9" s="16" t="s">
        <v>186</v>
      </c>
      <c r="D9" s="19" t="s">
        <v>187</v>
      </c>
      <c r="E9" s="27" t="s">
        <v>188</v>
      </c>
      <c r="F9" s="19" t="s">
        <v>189</v>
      </c>
      <c r="G9" s="16" t="s">
        <v>190</v>
      </c>
    </row>
    <row r="10" spans="1:7" ht="29">
      <c r="A10" s="12" t="s">
        <v>191</v>
      </c>
      <c r="B10" s="16" t="s">
        <v>56</v>
      </c>
      <c r="C10" s="16" t="s">
        <v>192</v>
      </c>
      <c r="D10" s="19" t="s">
        <v>193</v>
      </c>
      <c r="E10" s="27" t="s">
        <v>194</v>
      </c>
      <c r="F10" s="19" t="s">
        <v>195</v>
      </c>
      <c r="G10" s="16" t="s">
        <v>196</v>
      </c>
    </row>
    <row r="11" spans="1:7" ht="29">
      <c r="A11" s="12" t="s">
        <v>197</v>
      </c>
      <c r="B11" s="16" t="s">
        <v>69</v>
      </c>
      <c r="C11" s="16" t="s">
        <v>198</v>
      </c>
      <c r="D11" s="19" t="s">
        <v>199</v>
      </c>
      <c r="E11" s="27" t="s">
        <v>200</v>
      </c>
      <c r="F11" s="19" t="s">
        <v>201</v>
      </c>
      <c r="G11" s="16" t="s">
        <v>202</v>
      </c>
    </row>
    <row r="12" spans="1:7" ht="29">
      <c r="A12" s="12" t="s">
        <v>203</v>
      </c>
      <c r="B12" s="16" t="s">
        <v>64</v>
      </c>
      <c r="C12" s="16" t="s">
        <v>204</v>
      </c>
      <c r="D12" s="19" t="s">
        <v>205</v>
      </c>
      <c r="E12" s="27" t="s">
        <v>206</v>
      </c>
      <c r="F12" s="19" t="s">
        <v>207</v>
      </c>
      <c r="G12" s="16" t="s">
        <v>208</v>
      </c>
    </row>
    <row r="14" spans="1:7">
      <c r="A14" s="8" t="s">
        <v>209</v>
      </c>
    </row>
    <row r="15" spans="1:7">
      <c r="A15" s="11" t="s">
        <v>210</v>
      </c>
      <c r="B15" s="11" t="s">
        <v>211</v>
      </c>
      <c r="C15" s="11" t="s">
        <v>212</v>
      </c>
      <c r="D15" s="11" t="s">
        <v>213</v>
      </c>
      <c r="E15" s="11" t="s">
        <v>214</v>
      </c>
      <c r="F15" s="11" t="s">
        <v>215</v>
      </c>
      <c r="G15" s="11" t="s">
        <v>21</v>
      </c>
    </row>
    <row r="16" spans="1:7" ht="29">
      <c r="A16" s="12" t="s">
        <v>216</v>
      </c>
      <c r="B16" s="16" t="s">
        <v>217</v>
      </c>
      <c r="C16" s="19" t="s">
        <v>218</v>
      </c>
      <c r="D16" s="28" t="s">
        <v>219</v>
      </c>
      <c r="E16" s="19" t="s">
        <v>220</v>
      </c>
      <c r="F16" s="16" t="s">
        <v>221</v>
      </c>
      <c r="G16" s="16" t="s">
        <v>222</v>
      </c>
    </row>
    <row r="17" spans="1:7" ht="29">
      <c r="A17" s="12" t="s">
        <v>223</v>
      </c>
      <c r="B17" s="16" t="s">
        <v>224</v>
      </c>
      <c r="C17" s="19" t="s">
        <v>225</v>
      </c>
      <c r="D17" s="28" t="s">
        <v>226</v>
      </c>
      <c r="E17" s="19" t="s">
        <v>227</v>
      </c>
      <c r="F17" s="16" t="s">
        <v>228</v>
      </c>
      <c r="G17" s="16" t="s">
        <v>229</v>
      </c>
    </row>
    <row r="18" spans="1:7" ht="29">
      <c r="A18" s="12" t="s">
        <v>230</v>
      </c>
      <c r="B18" s="16" t="s">
        <v>231</v>
      </c>
      <c r="C18" s="19" t="s">
        <v>232</v>
      </c>
      <c r="D18" s="28" t="s">
        <v>233</v>
      </c>
      <c r="E18" s="19" t="s">
        <v>234</v>
      </c>
      <c r="F18" s="16" t="s">
        <v>235</v>
      </c>
      <c r="G18" s="16" t="s">
        <v>236</v>
      </c>
    </row>
    <row r="19" spans="1:7" ht="29">
      <c r="A19" s="12" t="s">
        <v>237</v>
      </c>
      <c r="B19" s="16" t="s">
        <v>238</v>
      </c>
      <c r="C19" s="19" t="s">
        <v>239</v>
      </c>
      <c r="D19" s="28" t="s">
        <v>240</v>
      </c>
      <c r="E19" s="19" t="s">
        <v>241</v>
      </c>
      <c r="F19" s="16" t="s">
        <v>242</v>
      </c>
      <c r="G19" s="16" t="s">
        <v>243</v>
      </c>
    </row>
  </sheetData>
  <phoneticPr fontId="2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00"/>
    <outlinePr summaryBelow="0" summaryRight="0"/>
  </sheetPr>
  <dimension ref="A1:C9"/>
  <sheetViews>
    <sheetView workbookViewId="0">
      <selection activeCell="A9" sqref="A9:XFD9"/>
    </sheetView>
  </sheetViews>
  <sheetFormatPr defaultColWidth="14.453125" defaultRowHeight="15" customHeight="1"/>
  <cols>
    <col min="1" max="1" width="14.453125" customWidth="1"/>
    <col min="2" max="2" width="103" customWidth="1"/>
    <col min="3" max="3" width="54.453125" customWidth="1"/>
  </cols>
  <sheetData>
    <row r="1" spans="1:3">
      <c r="A1" s="11" t="s">
        <v>245</v>
      </c>
      <c r="B1" s="11" t="s">
        <v>246</v>
      </c>
      <c r="C1" s="11" t="s">
        <v>247</v>
      </c>
    </row>
    <row r="2" spans="1:3" ht="117">
      <c r="A2" s="12" t="s">
        <v>248</v>
      </c>
      <c r="B2" s="29" t="s">
        <v>249</v>
      </c>
      <c r="C2" s="30" t="s">
        <v>251</v>
      </c>
    </row>
    <row r="3" spans="1:3" ht="143">
      <c r="A3" s="12" t="s">
        <v>252</v>
      </c>
      <c r="B3" s="29" t="s">
        <v>253</v>
      </c>
      <c r="C3" s="30" t="s">
        <v>254</v>
      </c>
    </row>
    <row r="4" spans="1:3" ht="156">
      <c r="A4" s="12" t="s">
        <v>255</v>
      </c>
      <c r="B4" s="29" t="s">
        <v>256</v>
      </c>
      <c r="C4" s="30" t="s">
        <v>257</v>
      </c>
    </row>
    <row r="5" spans="1:3" ht="325">
      <c r="A5" s="12" t="s">
        <v>258</v>
      </c>
      <c r="B5" s="29" t="s">
        <v>259</v>
      </c>
      <c r="C5" s="30" t="s">
        <v>260</v>
      </c>
    </row>
    <row r="6" spans="1:3" ht="91">
      <c r="A6" s="12" t="s">
        <v>261</v>
      </c>
      <c r="B6" s="29" t="s">
        <v>262</v>
      </c>
      <c r="C6" s="30" t="s">
        <v>263</v>
      </c>
    </row>
    <row r="7" spans="1:3" ht="221">
      <c r="A7" s="12" t="s">
        <v>264</v>
      </c>
      <c r="B7" s="29" t="s">
        <v>265</v>
      </c>
      <c r="C7" s="30" t="s">
        <v>266</v>
      </c>
    </row>
    <row r="8" spans="1:3" ht="312">
      <c r="A8" s="12" t="s">
        <v>267</v>
      </c>
      <c r="B8" s="29" t="s">
        <v>268</v>
      </c>
      <c r="C8" s="30" t="s">
        <v>269</v>
      </c>
    </row>
    <row r="9" spans="1:3" ht="104">
      <c r="A9" s="12" t="s">
        <v>270</v>
      </c>
      <c r="B9" s="29" t="s">
        <v>271</v>
      </c>
      <c r="C9" s="30" t="s">
        <v>272</v>
      </c>
    </row>
  </sheetData>
  <phoneticPr fontId="2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7B7B7"/>
  </sheetPr>
  <dimension ref="A1:N1000"/>
  <sheetViews>
    <sheetView workbookViewId="0"/>
  </sheetViews>
  <sheetFormatPr defaultColWidth="14.453125" defaultRowHeight="15" customHeight="1"/>
  <cols>
    <col min="1" max="1" width="15.81640625" customWidth="1"/>
    <col min="2" max="8" width="8.7265625" customWidth="1"/>
    <col min="9" max="9" width="9.453125" customWidth="1"/>
    <col min="10" max="26" width="8.7265625" customWidth="1"/>
  </cols>
  <sheetData>
    <row r="1" spans="1:14" ht="16.5" customHeight="1">
      <c r="A1" s="6" t="s">
        <v>52</v>
      </c>
      <c r="B1" s="6" t="s">
        <v>56</v>
      </c>
      <c r="C1" s="6" t="s">
        <v>24</v>
      </c>
      <c r="D1" s="6" t="s">
        <v>64</v>
      </c>
      <c r="E1" s="6" t="s">
        <v>69</v>
      </c>
      <c r="F1" s="6" t="s">
        <v>73</v>
      </c>
      <c r="G1" s="6" t="s">
        <v>78</v>
      </c>
      <c r="H1" s="6" t="s">
        <v>82</v>
      </c>
      <c r="I1" s="6" t="s">
        <v>87</v>
      </c>
      <c r="J1" s="6" t="s">
        <v>92</v>
      </c>
      <c r="K1" s="6" t="s">
        <v>273</v>
      </c>
    </row>
    <row r="2" spans="1:14" ht="16.5" customHeight="1">
      <c r="A2" s="31">
        <v>46310</v>
      </c>
      <c r="B2" s="32">
        <v>0.42708333333333331</v>
      </c>
      <c r="C2" s="6" t="s">
        <v>275</v>
      </c>
      <c r="D2" s="6" t="s">
        <v>276</v>
      </c>
      <c r="E2" s="6" t="s">
        <v>178</v>
      </c>
      <c r="F2" s="6" t="s">
        <v>277</v>
      </c>
      <c r="G2" s="6" t="s">
        <v>278</v>
      </c>
      <c r="H2" s="6" t="s">
        <v>279</v>
      </c>
      <c r="I2" s="6">
        <v>850000</v>
      </c>
      <c r="J2" s="6">
        <v>0</v>
      </c>
      <c r="K2" s="33" t="str">
        <f>VLOOKUP($C2,customer_master!$A$2:$F$21,1,0)</f>
        <v>C250011</v>
      </c>
      <c r="L2" s="6" t="b">
        <f t="shared" ref="L2:L48" si="0">IF(OR(G2="예약취소", G2="노쇼"), I2=0, TRUE)</f>
        <v>1</v>
      </c>
      <c r="M2" s="6" t="b">
        <f t="shared" ref="M2:M48" si="1">IF(OR(G2="예약취소", G2="노쇼"), IF(AND(I2=0, J2=0), TRUE, FALSE), TRUE)</f>
        <v>1</v>
      </c>
    </row>
    <row r="3" spans="1:14" ht="16.5" customHeight="1">
      <c r="A3" s="31">
        <v>46310</v>
      </c>
      <c r="B3" s="32">
        <v>0.44444444444444442</v>
      </c>
      <c r="C3" s="6" t="s">
        <v>284</v>
      </c>
      <c r="D3" s="6" t="s">
        <v>276</v>
      </c>
      <c r="E3" s="6" t="s">
        <v>362</v>
      </c>
      <c r="F3" s="6" t="s">
        <v>363</v>
      </c>
      <c r="G3" s="6" t="s">
        <v>278</v>
      </c>
      <c r="H3" s="6" t="s">
        <v>364</v>
      </c>
      <c r="I3" s="6">
        <v>45000</v>
      </c>
      <c r="J3" s="6">
        <v>0</v>
      </c>
      <c r="K3" s="33" t="str">
        <f>VLOOKUP($C3,customer_master!$A$2:$F$21,1,0)</f>
        <v>C250012</v>
      </c>
      <c r="L3" s="6" t="b">
        <f t="shared" si="0"/>
        <v>1</v>
      </c>
      <c r="M3" s="6" t="b">
        <f t="shared" si="1"/>
        <v>1</v>
      </c>
    </row>
    <row r="4" spans="1:14" ht="16.5" customHeight="1">
      <c r="A4" s="31">
        <v>46310</v>
      </c>
      <c r="B4" s="32">
        <v>0.45833333333333331</v>
      </c>
      <c r="C4" s="6" t="s">
        <v>289</v>
      </c>
      <c r="D4" s="6" t="s">
        <v>365</v>
      </c>
      <c r="E4" s="6" t="s">
        <v>274</v>
      </c>
      <c r="F4" s="6" t="s">
        <v>277</v>
      </c>
      <c r="G4" s="6" t="s">
        <v>366</v>
      </c>
      <c r="H4" s="6" t="s">
        <v>367</v>
      </c>
      <c r="I4" s="6">
        <v>0</v>
      </c>
      <c r="J4" s="6">
        <v>0</v>
      </c>
      <c r="K4" s="33" t="str">
        <f>VLOOKUP($C4,customer_master!$A$2:$F$21,1,0)</f>
        <v>C250013</v>
      </c>
      <c r="L4" s="6" t="b">
        <f t="shared" si="0"/>
        <v>1</v>
      </c>
      <c r="M4" s="6" t="b">
        <f t="shared" si="1"/>
        <v>1</v>
      </c>
    </row>
    <row r="5" spans="1:14" ht="16.5" customHeight="1">
      <c r="A5" s="31">
        <v>46310</v>
      </c>
      <c r="B5" s="32">
        <v>0.47222222222222221</v>
      </c>
      <c r="C5" s="6" t="s">
        <v>294</v>
      </c>
      <c r="D5" s="6" t="s">
        <v>276</v>
      </c>
      <c r="E5" s="6" t="s">
        <v>153</v>
      </c>
      <c r="F5" s="6" t="s">
        <v>368</v>
      </c>
      <c r="G5" s="6" t="s">
        <v>278</v>
      </c>
      <c r="H5" s="6" t="s">
        <v>369</v>
      </c>
      <c r="I5" s="6">
        <v>1200000</v>
      </c>
      <c r="J5" s="6">
        <v>300000</v>
      </c>
      <c r="K5" s="33" t="str">
        <f>VLOOKUP($C5,customer_master!$A$2:$F$21,1,0)</f>
        <v>C250014</v>
      </c>
      <c r="L5" s="6" t="b">
        <f t="shared" si="0"/>
        <v>1</v>
      </c>
      <c r="M5" s="6" t="b">
        <f t="shared" si="1"/>
        <v>1</v>
      </c>
    </row>
    <row r="6" spans="1:14" ht="16.5" customHeight="1">
      <c r="A6" s="31">
        <v>46310</v>
      </c>
      <c r="B6" s="32">
        <v>0.5</v>
      </c>
      <c r="C6" s="6" t="s">
        <v>298</v>
      </c>
      <c r="D6" s="6" t="s">
        <v>365</v>
      </c>
      <c r="E6" s="6" t="s">
        <v>244</v>
      </c>
      <c r="F6" s="6" t="s">
        <v>363</v>
      </c>
      <c r="G6" s="6" t="s">
        <v>278</v>
      </c>
      <c r="H6" s="6" t="s">
        <v>370</v>
      </c>
      <c r="I6" s="6">
        <v>290000</v>
      </c>
      <c r="J6" s="6">
        <v>0</v>
      </c>
      <c r="K6" s="33" t="str">
        <f>VLOOKUP($C6,customer_master!$A$2:$F$21,1,0)</f>
        <v>C250015</v>
      </c>
      <c r="L6" s="6" t="b">
        <f t="shared" si="0"/>
        <v>1</v>
      </c>
      <c r="M6" s="6" t="b">
        <f t="shared" si="1"/>
        <v>1</v>
      </c>
    </row>
    <row r="7" spans="1:14" ht="16.5" customHeight="1">
      <c r="A7" s="31">
        <v>46310</v>
      </c>
      <c r="B7" s="32">
        <v>0.52083333333333337</v>
      </c>
      <c r="C7" s="6" t="s">
        <v>302</v>
      </c>
      <c r="D7" s="6" t="s">
        <v>276</v>
      </c>
      <c r="E7" s="6" t="s">
        <v>362</v>
      </c>
      <c r="F7" s="6" t="s">
        <v>277</v>
      </c>
      <c r="G7" s="6" t="s">
        <v>278</v>
      </c>
      <c r="H7" s="6" t="s">
        <v>371</v>
      </c>
      <c r="I7" s="6">
        <v>39000</v>
      </c>
      <c r="J7" s="6">
        <v>0</v>
      </c>
      <c r="K7" s="33" t="str">
        <f>VLOOKUP($C7,customer_master!$A$2:$F$21,1,0)</f>
        <v>C250016</v>
      </c>
      <c r="L7" s="6" t="b">
        <f t="shared" si="0"/>
        <v>1</v>
      </c>
      <c r="M7" s="6" t="b">
        <f t="shared" si="1"/>
        <v>1</v>
      </c>
    </row>
    <row r="8" spans="1:14" ht="16.5" customHeight="1">
      <c r="A8" s="31">
        <v>46310</v>
      </c>
      <c r="B8" s="32">
        <v>0.58333333333333337</v>
      </c>
      <c r="C8" s="6" t="s">
        <v>306</v>
      </c>
      <c r="D8" s="6" t="s">
        <v>365</v>
      </c>
      <c r="E8" s="6" t="s">
        <v>250</v>
      </c>
      <c r="F8" s="6" t="s">
        <v>368</v>
      </c>
      <c r="G8" s="6" t="s">
        <v>372</v>
      </c>
      <c r="H8" s="6" t="s">
        <v>373</v>
      </c>
      <c r="I8" s="6">
        <v>0</v>
      </c>
      <c r="J8" s="6">
        <v>0</v>
      </c>
      <c r="K8" s="33" t="str">
        <f>VLOOKUP($C8,customer_master!$A$2:$F$21,1,0)</f>
        <v>C250017</v>
      </c>
      <c r="L8" s="6" t="b">
        <f t="shared" si="0"/>
        <v>1</v>
      </c>
      <c r="M8" s="6" t="b">
        <f t="shared" si="1"/>
        <v>1</v>
      </c>
    </row>
    <row r="9" spans="1:14" ht="16.5" customHeight="1">
      <c r="A9" s="31">
        <v>46310</v>
      </c>
      <c r="B9" s="32">
        <v>0.59722222222222221</v>
      </c>
      <c r="C9" s="6" t="s">
        <v>310</v>
      </c>
      <c r="D9" s="6" t="s">
        <v>276</v>
      </c>
      <c r="E9" s="6" t="s">
        <v>178</v>
      </c>
      <c r="F9" s="6" t="s">
        <v>363</v>
      </c>
      <c r="G9" s="6" t="s">
        <v>278</v>
      </c>
      <c r="H9" s="6" t="s">
        <v>375</v>
      </c>
      <c r="I9" s="6">
        <v>35000</v>
      </c>
      <c r="J9" s="6">
        <v>0</v>
      </c>
      <c r="K9" s="33" t="str">
        <f>VLOOKUP($C9,customer_master!$A$2:$F$21,1,0)</f>
        <v>C250018</v>
      </c>
      <c r="L9" s="6" t="b">
        <f t="shared" si="0"/>
        <v>1</v>
      </c>
      <c r="M9" s="6" t="b">
        <f t="shared" si="1"/>
        <v>1</v>
      </c>
    </row>
    <row r="10" spans="1:14" ht="16.5" customHeight="1">
      <c r="A10" s="31">
        <v>46310</v>
      </c>
      <c r="B10" s="32">
        <v>0.63541666666666663</v>
      </c>
      <c r="C10" s="6" t="s">
        <v>318</v>
      </c>
      <c r="D10" s="6" t="s">
        <v>276</v>
      </c>
      <c r="E10" s="6" t="s">
        <v>274</v>
      </c>
      <c r="F10" s="6" t="s">
        <v>368</v>
      </c>
      <c r="G10" s="6" t="s">
        <v>278</v>
      </c>
      <c r="H10" s="6" t="s">
        <v>376</v>
      </c>
      <c r="I10" s="6">
        <v>150000</v>
      </c>
      <c r="J10" s="6">
        <v>0</v>
      </c>
      <c r="K10" s="33" t="str">
        <f>VLOOKUP($C10,customer_master!$A$2:$F$21,1,0)</f>
        <v>C250020</v>
      </c>
      <c r="L10" s="6" t="b">
        <f t="shared" si="0"/>
        <v>1</v>
      </c>
      <c r="M10" s="6" t="b">
        <f t="shared" si="1"/>
        <v>1</v>
      </c>
    </row>
    <row r="11" spans="1:14" ht="16.5" customHeight="1">
      <c r="A11" s="31">
        <v>46310</v>
      </c>
      <c r="B11" s="32">
        <v>0.65277777777777779</v>
      </c>
      <c r="C11" s="6" t="s">
        <v>322</v>
      </c>
      <c r="D11" s="6" t="s">
        <v>365</v>
      </c>
      <c r="E11" s="6" t="s">
        <v>244</v>
      </c>
      <c r="F11" s="6" t="s">
        <v>277</v>
      </c>
      <c r="G11" s="6" t="s">
        <v>366</v>
      </c>
      <c r="H11" s="6" t="s">
        <v>377</v>
      </c>
      <c r="I11" s="6">
        <v>0</v>
      </c>
      <c r="J11" s="6">
        <v>0</v>
      </c>
      <c r="K11" s="33" t="str">
        <f>VLOOKUP($C11,customer_master!$A$2:$F$21,1,0)</f>
        <v>C260021</v>
      </c>
      <c r="L11" s="6" t="b">
        <f t="shared" si="0"/>
        <v>1</v>
      </c>
      <c r="M11" s="6" t="b">
        <f t="shared" si="1"/>
        <v>1</v>
      </c>
    </row>
    <row r="12" spans="1:14" ht="16.5" customHeight="1">
      <c r="A12" s="31">
        <v>46310</v>
      </c>
      <c r="B12" s="32">
        <v>0.66666666666666663</v>
      </c>
      <c r="C12" s="6" t="s">
        <v>326</v>
      </c>
      <c r="D12" s="6" t="s">
        <v>276</v>
      </c>
      <c r="E12" s="6" t="s">
        <v>362</v>
      </c>
      <c r="F12" s="6" t="s">
        <v>363</v>
      </c>
      <c r="G12" s="6" t="s">
        <v>372</v>
      </c>
      <c r="H12" s="6" t="s">
        <v>279</v>
      </c>
      <c r="I12" s="38">
        <v>0</v>
      </c>
      <c r="J12" s="6">
        <v>0</v>
      </c>
      <c r="K12" s="33" t="str">
        <f>VLOOKUP($C12,customer_master!$A$2:$F$21,1,0)</f>
        <v>C260022</v>
      </c>
      <c r="L12" s="6" t="b">
        <f t="shared" si="0"/>
        <v>1</v>
      </c>
      <c r="M12" s="6" t="b">
        <f t="shared" si="1"/>
        <v>1</v>
      </c>
      <c r="N12" s="6" t="s">
        <v>383</v>
      </c>
    </row>
    <row r="13" spans="1:14" ht="16.5" customHeight="1">
      <c r="A13" s="31">
        <v>46310</v>
      </c>
      <c r="B13" s="32">
        <v>0.68055555555555558</v>
      </c>
      <c r="C13" s="6" t="s">
        <v>330</v>
      </c>
      <c r="D13" s="6" t="s">
        <v>365</v>
      </c>
      <c r="E13" s="6" t="s">
        <v>178</v>
      </c>
      <c r="F13" s="6" t="s">
        <v>368</v>
      </c>
      <c r="G13" s="6" t="s">
        <v>278</v>
      </c>
      <c r="H13" s="6" t="s">
        <v>364</v>
      </c>
      <c r="I13" s="6">
        <v>45000</v>
      </c>
      <c r="J13" s="6">
        <v>0</v>
      </c>
      <c r="K13" s="33" t="str">
        <f>VLOOKUP($C13,customer_master!$A$2:$F$21,1,0)</f>
        <v>C260023</v>
      </c>
      <c r="L13" s="6" t="b">
        <f t="shared" si="0"/>
        <v>1</v>
      </c>
      <c r="M13" s="6" t="b">
        <f t="shared" si="1"/>
        <v>1</v>
      </c>
    </row>
    <row r="14" spans="1:14" ht="16.5" customHeight="1">
      <c r="A14" s="31">
        <v>46310</v>
      </c>
      <c r="B14" s="32">
        <v>0.70833333333333337</v>
      </c>
      <c r="C14" s="6" t="s">
        <v>334</v>
      </c>
      <c r="D14" s="6" t="s">
        <v>276</v>
      </c>
      <c r="E14" s="6" t="s">
        <v>274</v>
      </c>
      <c r="F14" s="6" t="s">
        <v>277</v>
      </c>
      <c r="G14" s="6" t="s">
        <v>278</v>
      </c>
      <c r="H14" s="6" t="s">
        <v>384</v>
      </c>
      <c r="I14" s="6">
        <v>60000</v>
      </c>
      <c r="J14" s="6">
        <v>0</v>
      </c>
      <c r="K14" s="33" t="str">
        <f>VLOOKUP($C14,customer_master!$A$2:$F$21,1,0)</f>
        <v>C260024</v>
      </c>
      <c r="L14" s="6" t="b">
        <f t="shared" si="0"/>
        <v>1</v>
      </c>
      <c r="M14" s="6" t="b">
        <f t="shared" si="1"/>
        <v>1</v>
      </c>
    </row>
    <row r="15" spans="1:14" ht="16.5" customHeight="1">
      <c r="A15" s="31">
        <v>46310</v>
      </c>
      <c r="B15" s="32">
        <v>0.72916666666666663</v>
      </c>
      <c r="C15" s="6" t="s">
        <v>338</v>
      </c>
      <c r="D15" s="6" t="s">
        <v>365</v>
      </c>
      <c r="E15" s="6" t="s">
        <v>153</v>
      </c>
      <c r="F15" s="6" t="s">
        <v>363</v>
      </c>
      <c r="G15" s="6" t="s">
        <v>278</v>
      </c>
      <c r="H15" s="6" t="s">
        <v>385</v>
      </c>
      <c r="I15" s="6">
        <v>220000</v>
      </c>
      <c r="J15" s="6">
        <v>0</v>
      </c>
      <c r="K15" s="33" t="str">
        <f>VLOOKUP($C15,customer_master!$A$2:$F$21,1,0)</f>
        <v>C260025</v>
      </c>
      <c r="L15" s="6" t="b">
        <f t="shared" si="0"/>
        <v>1</v>
      </c>
      <c r="M15" s="6" t="b">
        <f t="shared" si="1"/>
        <v>1</v>
      </c>
    </row>
    <row r="16" spans="1:14" ht="16.5" customHeight="1">
      <c r="A16" s="31">
        <v>46310</v>
      </c>
      <c r="B16" s="32">
        <v>0.75</v>
      </c>
      <c r="C16" s="6" t="s">
        <v>342</v>
      </c>
      <c r="D16" s="6" t="s">
        <v>276</v>
      </c>
      <c r="E16" s="6" t="s">
        <v>362</v>
      </c>
      <c r="F16" s="6" t="s">
        <v>368</v>
      </c>
      <c r="G16" s="6" t="s">
        <v>278</v>
      </c>
      <c r="H16" s="6" t="s">
        <v>386</v>
      </c>
      <c r="I16" s="6">
        <v>0</v>
      </c>
      <c r="J16" s="6">
        <v>0</v>
      </c>
      <c r="K16" s="6" t="str">
        <f>VLOOKUP($C16,customer_master!$A$2:$F$21,1,0)</f>
        <v>C260026</v>
      </c>
      <c r="L16" s="6" t="b">
        <f t="shared" si="0"/>
        <v>1</v>
      </c>
      <c r="M16" s="6" t="b">
        <f t="shared" si="1"/>
        <v>1</v>
      </c>
    </row>
    <row r="17" spans="1:14" ht="16.5" customHeight="1">
      <c r="A17" s="31">
        <v>46311</v>
      </c>
      <c r="B17" s="32">
        <v>0.41666666666666669</v>
      </c>
      <c r="C17" s="6" t="s">
        <v>346</v>
      </c>
      <c r="D17" s="6" t="s">
        <v>365</v>
      </c>
      <c r="E17" s="6" t="s">
        <v>250</v>
      </c>
      <c r="F17" s="6" t="s">
        <v>277</v>
      </c>
      <c r="G17" s="6" t="s">
        <v>278</v>
      </c>
      <c r="H17" s="6" t="s">
        <v>387</v>
      </c>
      <c r="I17" s="6">
        <v>450000</v>
      </c>
      <c r="J17" s="6">
        <v>0</v>
      </c>
      <c r="K17" s="6" t="str">
        <f>VLOOKUP($C17,customer_master!$A$2:$F$21,1,0)</f>
        <v>C260027</v>
      </c>
      <c r="L17" s="6" t="b">
        <f t="shared" si="0"/>
        <v>1</v>
      </c>
      <c r="M17" s="6" t="b">
        <f t="shared" si="1"/>
        <v>1</v>
      </c>
    </row>
    <row r="18" spans="1:14" ht="16.5" customHeight="1">
      <c r="A18" s="31">
        <v>46311</v>
      </c>
      <c r="B18" s="32">
        <v>0.4375</v>
      </c>
      <c r="C18" s="6" t="s">
        <v>350</v>
      </c>
      <c r="D18" s="6" t="s">
        <v>276</v>
      </c>
      <c r="E18" s="6" t="s">
        <v>244</v>
      </c>
      <c r="F18" s="6" t="s">
        <v>363</v>
      </c>
      <c r="G18" s="6" t="s">
        <v>278</v>
      </c>
      <c r="H18" s="6" t="s">
        <v>388</v>
      </c>
      <c r="I18" s="6">
        <v>120000</v>
      </c>
      <c r="J18" s="6">
        <v>0</v>
      </c>
      <c r="K18" s="6" t="str">
        <f>VLOOKUP($C18,customer_master!$A$2:$F$21,1,0)</f>
        <v>C260028</v>
      </c>
      <c r="L18" s="6" t="b">
        <f t="shared" si="0"/>
        <v>1</v>
      </c>
      <c r="M18" s="6" t="b">
        <f t="shared" si="1"/>
        <v>1</v>
      </c>
    </row>
    <row r="19" spans="1:14" ht="16.5" customHeight="1">
      <c r="A19" s="31">
        <v>46311</v>
      </c>
      <c r="B19" s="32">
        <v>0.46875</v>
      </c>
      <c r="C19" s="6" t="s">
        <v>354</v>
      </c>
      <c r="D19" s="6" t="s">
        <v>365</v>
      </c>
      <c r="E19" s="6" t="s">
        <v>274</v>
      </c>
      <c r="F19" s="6" t="s">
        <v>368</v>
      </c>
      <c r="G19" s="6" t="s">
        <v>366</v>
      </c>
      <c r="H19" s="6" t="s">
        <v>389</v>
      </c>
      <c r="I19" s="6">
        <v>0</v>
      </c>
      <c r="J19" s="6">
        <v>0</v>
      </c>
      <c r="K19" s="6" t="str">
        <f>VLOOKUP($C19,customer_master!$A$2:$F$21,1,0)</f>
        <v>C260029</v>
      </c>
      <c r="L19" s="6" t="b">
        <f t="shared" si="0"/>
        <v>1</v>
      </c>
      <c r="M19" s="6" t="b">
        <f t="shared" si="1"/>
        <v>1</v>
      </c>
    </row>
    <row r="20" spans="1:14" ht="16.5" customHeight="1">
      <c r="A20" s="31">
        <v>46311</v>
      </c>
      <c r="B20" s="32">
        <v>0.48958333333333331</v>
      </c>
      <c r="C20" s="6" t="s">
        <v>358</v>
      </c>
      <c r="D20" s="6" t="s">
        <v>276</v>
      </c>
      <c r="E20" s="6" t="s">
        <v>362</v>
      </c>
      <c r="F20" s="6" t="s">
        <v>277</v>
      </c>
      <c r="G20" s="6" t="s">
        <v>278</v>
      </c>
      <c r="H20" s="6" t="s">
        <v>390</v>
      </c>
      <c r="I20" s="6">
        <v>150000</v>
      </c>
      <c r="J20" s="6">
        <v>0</v>
      </c>
      <c r="K20" s="6" t="str">
        <f>VLOOKUP($C20,customer_master!$A$2:$F$21,1,0)</f>
        <v>C260030</v>
      </c>
      <c r="L20" s="6" t="b">
        <f t="shared" si="0"/>
        <v>1</v>
      </c>
      <c r="M20" s="6" t="b">
        <f t="shared" si="1"/>
        <v>1</v>
      </c>
    </row>
    <row r="21" spans="1:14" ht="16.5" customHeight="1">
      <c r="A21" s="31">
        <v>46311</v>
      </c>
      <c r="B21" s="32">
        <v>0.52083333333333337</v>
      </c>
      <c r="C21" s="6" t="s">
        <v>275</v>
      </c>
      <c r="D21" s="6" t="s">
        <v>365</v>
      </c>
      <c r="E21" s="6" t="s">
        <v>178</v>
      </c>
      <c r="F21" s="6" t="s">
        <v>363</v>
      </c>
      <c r="G21" s="6" t="s">
        <v>278</v>
      </c>
      <c r="H21" s="6" t="s">
        <v>369</v>
      </c>
      <c r="I21" s="6">
        <v>1200000</v>
      </c>
      <c r="J21" s="6">
        <v>0</v>
      </c>
      <c r="K21" s="33" t="str">
        <f>VLOOKUP($C21,customer_master!$A$2:$F$21,1,0)</f>
        <v>C250011</v>
      </c>
      <c r="L21" s="6" t="b">
        <f t="shared" si="0"/>
        <v>1</v>
      </c>
      <c r="M21" s="6" t="b">
        <f t="shared" si="1"/>
        <v>1</v>
      </c>
    </row>
    <row r="22" spans="1:14" ht="16.5" customHeight="1">
      <c r="A22" s="31">
        <v>46311</v>
      </c>
      <c r="B22" s="32">
        <v>0.58333333333333337</v>
      </c>
      <c r="C22" s="6" t="s">
        <v>284</v>
      </c>
      <c r="D22" s="6" t="s">
        <v>276</v>
      </c>
      <c r="E22" s="6" t="s">
        <v>153</v>
      </c>
      <c r="F22" s="6" t="s">
        <v>368</v>
      </c>
      <c r="G22" s="6" t="s">
        <v>372</v>
      </c>
      <c r="H22" s="6" t="s">
        <v>391</v>
      </c>
      <c r="I22" s="6">
        <v>0</v>
      </c>
      <c r="J22" s="6">
        <v>0</v>
      </c>
      <c r="K22" s="33" t="str">
        <f>VLOOKUP($C22,customer_master!$A$2:$F$21,1,0)</f>
        <v>C250012</v>
      </c>
      <c r="L22" s="6" t="b">
        <f t="shared" si="0"/>
        <v>1</v>
      </c>
      <c r="M22" s="6" t="b">
        <f t="shared" si="1"/>
        <v>1</v>
      </c>
    </row>
    <row r="23" spans="1:14" ht="16.5" customHeight="1">
      <c r="A23" s="31">
        <v>46311</v>
      </c>
      <c r="B23" s="32">
        <v>0.61111111111111116</v>
      </c>
      <c r="C23" s="6" t="s">
        <v>289</v>
      </c>
      <c r="D23" s="6" t="s">
        <v>365</v>
      </c>
      <c r="E23" s="6" t="s">
        <v>244</v>
      </c>
      <c r="F23" s="6" t="s">
        <v>277</v>
      </c>
      <c r="G23" s="6" t="s">
        <v>278</v>
      </c>
      <c r="H23" s="6" t="s">
        <v>279</v>
      </c>
      <c r="I23" s="6">
        <v>850000</v>
      </c>
      <c r="J23" s="6">
        <v>50000</v>
      </c>
      <c r="K23" s="33" t="str">
        <f>VLOOKUP($C23,customer_master!$A$2:$F$21,1,0)</f>
        <v>C250013</v>
      </c>
      <c r="L23" s="6" t="b">
        <f t="shared" si="0"/>
        <v>1</v>
      </c>
      <c r="M23" s="6" t="b">
        <f t="shared" si="1"/>
        <v>1</v>
      </c>
    </row>
    <row r="24" spans="1:14" ht="16.5" customHeight="1">
      <c r="A24" s="31">
        <v>46311</v>
      </c>
      <c r="B24" s="32">
        <v>0.625</v>
      </c>
      <c r="C24" s="6" t="s">
        <v>294</v>
      </c>
      <c r="D24" s="6" t="s">
        <v>276</v>
      </c>
      <c r="E24" s="6" t="s">
        <v>274</v>
      </c>
      <c r="F24" s="6" t="s">
        <v>363</v>
      </c>
      <c r="G24" s="6" t="s">
        <v>278</v>
      </c>
      <c r="H24" s="6" t="s">
        <v>364</v>
      </c>
      <c r="I24" s="6">
        <v>45000</v>
      </c>
      <c r="J24" s="6">
        <v>0</v>
      </c>
      <c r="K24" s="33" t="str">
        <f>VLOOKUP($C24,customer_master!$A$2:$F$21,1,0)</f>
        <v>C250014</v>
      </c>
      <c r="L24" s="6" t="b">
        <f t="shared" si="0"/>
        <v>1</v>
      </c>
      <c r="M24" s="6" t="b">
        <f t="shared" si="1"/>
        <v>1</v>
      </c>
    </row>
    <row r="25" spans="1:14" ht="16.5" customHeight="1">
      <c r="A25" s="31">
        <v>46311</v>
      </c>
      <c r="B25" s="32">
        <v>0.63888888888888884</v>
      </c>
      <c r="C25" s="6" t="s">
        <v>298</v>
      </c>
      <c r="D25" s="6" t="s">
        <v>365</v>
      </c>
      <c r="E25" s="6" t="s">
        <v>250</v>
      </c>
      <c r="F25" s="6" t="s">
        <v>368</v>
      </c>
      <c r="G25" s="6" t="s">
        <v>278</v>
      </c>
      <c r="H25" s="6" t="s">
        <v>367</v>
      </c>
      <c r="I25" s="6">
        <v>200000</v>
      </c>
      <c r="J25" s="38">
        <v>0</v>
      </c>
      <c r="K25" s="33" t="str">
        <f>VLOOKUP($C25,customer_master!$A$2:$F$21,1,0)</f>
        <v>C250015</v>
      </c>
      <c r="L25" s="6" t="b">
        <f t="shared" si="0"/>
        <v>1</v>
      </c>
      <c r="M25" s="6" t="b">
        <f t="shared" si="1"/>
        <v>1</v>
      </c>
      <c r="N25" s="6" t="s">
        <v>393</v>
      </c>
    </row>
    <row r="26" spans="1:14" ht="16.5" customHeight="1">
      <c r="A26" s="31">
        <v>46311</v>
      </c>
      <c r="B26" s="32">
        <v>0.66666666666666663</v>
      </c>
      <c r="C26" s="6" t="s">
        <v>302</v>
      </c>
      <c r="D26" s="6" t="s">
        <v>276</v>
      </c>
      <c r="E26" s="6" t="s">
        <v>178</v>
      </c>
      <c r="F26" s="6" t="s">
        <v>277</v>
      </c>
      <c r="G26" s="6" t="s">
        <v>278</v>
      </c>
      <c r="H26" s="6" t="s">
        <v>394</v>
      </c>
      <c r="I26" s="6">
        <v>120000</v>
      </c>
      <c r="J26" s="6">
        <v>0</v>
      </c>
      <c r="K26" s="33" t="str">
        <f>VLOOKUP($C26,customer_master!$A$2:$F$21,1,0)</f>
        <v>C250016</v>
      </c>
      <c r="L26" s="6" t="b">
        <f t="shared" si="0"/>
        <v>1</v>
      </c>
      <c r="M26" s="6" t="b">
        <f t="shared" si="1"/>
        <v>1</v>
      </c>
    </row>
    <row r="27" spans="1:14" ht="16.5" customHeight="1">
      <c r="A27" s="31">
        <v>46311</v>
      </c>
      <c r="B27" s="32">
        <v>0.6875</v>
      </c>
      <c r="C27" s="6" t="s">
        <v>306</v>
      </c>
      <c r="D27" s="6" t="s">
        <v>365</v>
      </c>
      <c r="E27" s="6" t="s">
        <v>362</v>
      </c>
      <c r="F27" s="6" t="s">
        <v>363</v>
      </c>
      <c r="G27" s="6" t="s">
        <v>372</v>
      </c>
      <c r="H27" s="6" t="s">
        <v>370</v>
      </c>
      <c r="I27" s="6">
        <v>0</v>
      </c>
      <c r="J27" s="38">
        <v>0</v>
      </c>
      <c r="K27" s="33" t="str">
        <f>VLOOKUP($C27,customer_master!$A$2:$F$21,1,0)</f>
        <v>C250017</v>
      </c>
      <c r="L27" s="6" t="b">
        <f t="shared" si="0"/>
        <v>1</v>
      </c>
      <c r="M27" s="6" t="b">
        <f t="shared" si="1"/>
        <v>1</v>
      </c>
      <c r="N27" s="6" t="s">
        <v>395</v>
      </c>
    </row>
    <row r="28" spans="1:14" ht="16.5" customHeight="1">
      <c r="A28" s="31">
        <v>46311</v>
      </c>
      <c r="B28" s="32">
        <v>0.70833333333333337</v>
      </c>
      <c r="C28" s="6" t="s">
        <v>310</v>
      </c>
      <c r="D28" s="6" t="s">
        <v>276</v>
      </c>
      <c r="E28" s="6" t="s">
        <v>244</v>
      </c>
      <c r="F28" s="6" t="s">
        <v>368</v>
      </c>
      <c r="G28" s="6" t="s">
        <v>366</v>
      </c>
      <c r="H28" s="6" t="s">
        <v>371</v>
      </c>
      <c r="I28" s="6">
        <v>0</v>
      </c>
      <c r="J28" s="6">
        <v>0</v>
      </c>
      <c r="K28" s="33" t="str">
        <f>VLOOKUP($C28,customer_master!$A$2:$F$21,1,0)</f>
        <v>C250018</v>
      </c>
      <c r="L28" s="6" t="b">
        <f t="shared" si="0"/>
        <v>1</v>
      </c>
      <c r="M28" s="6" t="b">
        <f t="shared" si="1"/>
        <v>1</v>
      </c>
    </row>
    <row r="29" spans="1:14" ht="16.5" customHeight="1">
      <c r="A29" s="31">
        <v>46311</v>
      </c>
      <c r="B29" s="32">
        <v>0.73611111111111116</v>
      </c>
      <c r="C29" s="6" t="s">
        <v>314</v>
      </c>
      <c r="D29" s="6" t="s">
        <v>365</v>
      </c>
      <c r="E29" s="6" t="s">
        <v>274</v>
      </c>
      <c r="F29" s="6" t="s">
        <v>277</v>
      </c>
      <c r="G29" s="6" t="s">
        <v>278</v>
      </c>
      <c r="H29" s="6" t="s">
        <v>388</v>
      </c>
      <c r="I29" s="6">
        <v>120000</v>
      </c>
      <c r="J29" s="6">
        <v>0</v>
      </c>
      <c r="K29" s="33" t="str">
        <f>VLOOKUP($C29,customer_master!$A$2:$F$21,1,0)</f>
        <v>C250019</v>
      </c>
      <c r="L29" s="6" t="b">
        <f t="shared" si="0"/>
        <v>1</v>
      </c>
      <c r="M29" s="6" t="b">
        <f t="shared" si="1"/>
        <v>1</v>
      </c>
    </row>
    <row r="30" spans="1:14" ht="16.5" customHeight="1">
      <c r="A30" s="31">
        <v>46312</v>
      </c>
      <c r="B30" s="32">
        <v>0.41666666666666669</v>
      </c>
      <c r="C30" s="6" t="s">
        <v>318</v>
      </c>
      <c r="D30" s="6" t="s">
        <v>276</v>
      </c>
      <c r="E30" s="6" t="s">
        <v>153</v>
      </c>
      <c r="F30" s="6" t="s">
        <v>363</v>
      </c>
      <c r="G30" s="6" t="s">
        <v>278</v>
      </c>
      <c r="H30" s="6" t="s">
        <v>375</v>
      </c>
      <c r="I30" s="6">
        <v>35000</v>
      </c>
      <c r="J30" s="6">
        <v>0</v>
      </c>
      <c r="K30" s="33" t="str">
        <f>VLOOKUP($C30,customer_master!$A$2:$F$21,1,0)</f>
        <v>C250020</v>
      </c>
      <c r="L30" s="6" t="b">
        <f t="shared" si="0"/>
        <v>1</v>
      </c>
      <c r="M30" s="6" t="b">
        <f t="shared" si="1"/>
        <v>1</v>
      </c>
    </row>
    <row r="31" spans="1:14" ht="16.5" customHeight="1">
      <c r="A31" s="31">
        <v>46312</v>
      </c>
      <c r="B31" s="32">
        <v>0.42708333333333331</v>
      </c>
      <c r="C31" s="6" t="s">
        <v>322</v>
      </c>
      <c r="D31" s="6" t="s">
        <v>365</v>
      </c>
      <c r="E31" s="6" t="s">
        <v>178</v>
      </c>
      <c r="F31" s="6" t="s">
        <v>368</v>
      </c>
      <c r="G31" s="6" t="s">
        <v>278</v>
      </c>
      <c r="H31" s="6" t="s">
        <v>399</v>
      </c>
      <c r="I31" s="6">
        <v>180000</v>
      </c>
      <c r="J31" s="6">
        <v>50000</v>
      </c>
      <c r="K31" s="33" t="str">
        <f>VLOOKUP($C31,customer_master!$A$2:$F$21,1,0)</f>
        <v>C260021</v>
      </c>
      <c r="L31" s="6" t="b">
        <f t="shared" si="0"/>
        <v>1</v>
      </c>
      <c r="M31" s="6" t="b">
        <f t="shared" si="1"/>
        <v>1</v>
      </c>
    </row>
    <row r="32" spans="1:14" ht="16.5" customHeight="1">
      <c r="A32" s="31">
        <v>46312</v>
      </c>
      <c r="B32" s="32">
        <v>0.45833333333333331</v>
      </c>
      <c r="C32" s="6" t="s">
        <v>326</v>
      </c>
      <c r="D32" s="6" t="s">
        <v>276</v>
      </c>
      <c r="E32" s="6" t="s">
        <v>362</v>
      </c>
      <c r="F32" s="6" t="s">
        <v>277</v>
      </c>
      <c r="G32" s="6" t="s">
        <v>278</v>
      </c>
      <c r="H32" s="6" t="s">
        <v>392</v>
      </c>
      <c r="I32" s="6">
        <v>2200000</v>
      </c>
      <c r="J32" s="6">
        <v>0</v>
      </c>
      <c r="K32" s="33" t="str">
        <f>VLOOKUP($C32,customer_master!$A$2:$F$21,1,0)</f>
        <v>C260022</v>
      </c>
      <c r="L32" s="6" t="b">
        <f t="shared" si="0"/>
        <v>1</v>
      </c>
      <c r="M32" s="6" t="b">
        <f t="shared" si="1"/>
        <v>1</v>
      </c>
    </row>
    <row r="33" spans="1:14" ht="16.5" customHeight="1">
      <c r="A33" s="31">
        <v>46312</v>
      </c>
      <c r="B33" s="32">
        <v>0.47916666666666669</v>
      </c>
      <c r="C33" s="6" t="s">
        <v>330</v>
      </c>
      <c r="D33" s="6" t="s">
        <v>365</v>
      </c>
      <c r="E33" s="6" t="s">
        <v>244</v>
      </c>
      <c r="F33" s="6" t="s">
        <v>363</v>
      </c>
      <c r="G33" s="6" t="s">
        <v>372</v>
      </c>
      <c r="H33" s="6" t="s">
        <v>373</v>
      </c>
      <c r="I33" s="6">
        <v>0</v>
      </c>
      <c r="J33" s="6">
        <v>0</v>
      </c>
      <c r="K33" s="33" t="str">
        <f>VLOOKUP($C33,customer_master!$A$2:$F$21,1,0)</f>
        <v>C260023</v>
      </c>
      <c r="L33" s="6" t="b">
        <f t="shared" si="0"/>
        <v>1</v>
      </c>
      <c r="M33" s="6" t="b">
        <f t="shared" si="1"/>
        <v>1</v>
      </c>
    </row>
    <row r="34" spans="1:14" ht="16.5" customHeight="1">
      <c r="A34" s="31">
        <v>46312</v>
      </c>
      <c r="B34" s="32">
        <v>0.5</v>
      </c>
      <c r="C34" s="6" t="s">
        <v>334</v>
      </c>
      <c r="D34" s="6" t="s">
        <v>276</v>
      </c>
      <c r="E34" s="6" t="s">
        <v>274</v>
      </c>
      <c r="F34" s="6" t="s">
        <v>368</v>
      </c>
      <c r="G34" s="6" t="s">
        <v>278</v>
      </c>
      <c r="H34" s="6" t="s">
        <v>402</v>
      </c>
      <c r="I34" s="6">
        <v>80000</v>
      </c>
      <c r="J34" s="6">
        <v>0</v>
      </c>
      <c r="K34" s="33" t="str">
        <f>VLOOKUP($C34,customer_master!$A$2:$F$21,1,0)</f>
        <v>C260024</v>
      </c>
      <c r="L34" s="6" t="b">
        <f t="shared" si="0"/>
        <v>1</v>
      </c>
      <c r="M34" s="6" t="b">
        <f t="shared" si="1"/>
        <v>1</v>
      </c>
    </row>
    <row r="35" spans="1:14" ht="16.5" customHeight="1">
      <c r="A35" s="31">
        <v>46312</v>
      </c>
      <c r="B35" s="32">
        <v>0.54166666666666663</v>
      </c>
      <c r="C35" s="6" t="s">
        <v>338</v>
      </c>
      <c r="D35" s="6" t="s">
        <v>365</v>
      </c>
      <c r="E35" s="6" t="s">
        <v>250</v>
      </c>
      <c r="F35" s="6" t="s">
        <v>277</v>
      </c>
      <c r="G35" s="6" t="s">
        <v>366</v>
      </c>
      <c r="H35" s="6" t="s">
        <v>279</v>
      </c>
      <c r="I35" s="6">
        <v>0</v>
      </c>
      <c r="J35" s="6">
        <v>0</v>
      </c>
      <c r="K35" s="33" t="str">
        <f>VLOOKUP($C35,customer_master!$A$2:$F$21,1,0)</f>
        <v>C260025</v>
      </c>
      <c r="L35" s="6" t="b">
        <f t="shared" si="0"/>
        <v>1</v>
      </c>
      <c r="M35" s="6" t="b">
        <f t="shared" si="1"/>
        <v>1</v>
      </c>
    </row>
    <row r="36" spans="1:14" ht="16.5" customHeight="1">
      <c r="A36" s="31">
        <v>46312</v>
      </c>
      <c r="B36" s="32">
        <v>0.5625</v>
      </c>
      <c r="C36" s="6" t="s">
        <v>342</v>
      </c>
      <c r="D36" s="6" t="s">
        <v>276</v>
      </c>
      <c r="E36" s="6" t="s">
        <v>178</v>
      </c>
      <c r="F36" s="6" t="s">
        <v>363</v>
      </c>
      <c r="G36" s="6" t="s">
        <v>278</v>
      </c>
      <c r="H36" s="6" t="s">
        <v>364</v>
      </c>
      <c r="I36" s="6">
        <v>45000</v>
      </c>
      <c r="J36" s="6">
        <v>0</v>
      </c>
      <c r="K36" s="6" t="str">
        <f>VLOOKUP($C36,customer_master!$A$2:$F$21,1,0)</f>
        <v>C260026</v>
      </c>
      <c r="L36" s="6" t="b">
        <f t="shared" si="0"/>
        <v>1</v>
      </c>
      <c r="M36" s="6" t="b">
        <f t="shared" si="1"/>
        <v>1</v>
      </c>
    </row>
    <row r="37" spans="1:14" ht="16.5" customHeight="1">
      <c r="A37" s="31">
        <v>46312</v>
      </c>
      <c r="B37" s="32">
        <v>0.58333333333333337</v>
      </c>
      <c r="C37" s="6" t="s">
        <v>346</v>
      </c>
      <c r="D37" s="6" t="s">
        <v>365</v>
      </c>
      <c r="E37" s="6" t="s">
        <v>362</v>
      </c>
      <c r="F37" s="6" t="s">
        <v>368</v>
      </c>
      <c r="G37" s="6" t="s">
        <v>278</v>
      </c>
      <c r="H37" s="6" t="s">
        <v>385</v>
      </c>
      <c r="I37" s="6">
        <v>220000</v>
      </c>
      <c r="J37" s="6">
        <v>0</v>
      </c>
      <c r="K37" s="6" t="str">
        <f>VLOOKUP($C37,customer_master!$A$2:$F$21,1,0)</f>
        <v>C260027</v>
      </c>
      <c r="L37" s="6" t="b">
        <f t="shared" si="0"/>
        <v>1</v>
      </c>
      <c r="M37" s="6" t="b">
        <f t="shared" si="1"/>
        <v>1</v>
      </c>
    </row>
    <row r="38" spans="1:14" ht="16.5" customHeight="1">
      <c r="A38" s="31">
        <v>46312</v>
      </c>
      <c r="B38" s="32">
        <v>0.61458333333333337</v>
      </c>
      <c r="C38" s="6" t="s">
        <v>350</v>
      </c>
      <c r="D38" s="6" t="s">
        <v>276</v>
      </c>
      <c r="E38" s="6" t="s">
        <v>153</v>
      </c>
      <c r="F38" s="6" t="s">
        <v>277</v>
      </c>
      <c r="G38" s="6" t="s">
        <v>278</v>
      </c>
      <c r="H38" s="6" t="s">
        <v>386</v>
      </c>
      <c r="I38" s="6">
        <v>2500000</v>
      </c>
      <c r="J38" s="6">
        <v>500000</v>
      </c>
      <c r="K38" s="6" t="str">
        <f>VLOOKUP($C38,customer_master!$A$2:$F$21,1,0)</f>
        <v>C260028</v>
      </c>
      <c r="L38" s="6" t="b">
        <f t="shared" si="0"/>
        <v>1</v>
      </c>
      <c r="M38" s="6" t="b">
        <f t="shared" si="1"/>
        <v>1</v>
      </c>
    </row>
    <row r="39" spans="1:14" ht="16.5" customHeight="1">
      <c r="A39" s="31">
        <v>46312</v>
      </c>
      <c r="B39" s="32">
        <v>0.63541666666666663</v>
      </c>
      <c r="C39" s="6" t="s">
        <v>354</v>
      </c>
      <c r="D39" s="6" t="s">
        <v>365</v>
      </c>
      <c r="E39" s="6" t="s">
        <v>274</v>
      </c>
      <c r="F39" s="6" t="s">
        <v>363</v>
      </c>
      <c r="G39" s="6" t="s">
        <v>278</v>
      </c>
      <c r="H39" s="6" t="s">
        <v>387</v>
      </c>
      <c r="I39" s="6">
        <v>450000</v>
      </c>
      <c r="J39" s="6">
        <v>0</v>
      </c>
      <c r="K39" s="6" t="str">
        <f>VLOOKUP($C39,customer_master!$A$2:$F$21,1,0)</f>
        <v>C260029</v>
      </c>
      <c r="L39" s="6" t="b">
        <f t="shared" si="0"/>
        <v>1</v>
      </c>
      <c r="M39" s="6" t="b">
        <f t="shared" si="1"/>
        <v>1</v>
      </c>
    </row>
    <row r="40" spans="1:14" ht="16.5" customHeight="1">
      <c r="A40" s="31">
        <v>46312</v>
      </c>
      <c r="B40" s="32">
        <v>0.66666666666666663</v>
      </c>
      <c r="C40" s="6" t="s">
        <v>275</v>
      </c>
      <c r="D40" s="6" t="s">
        <v>365</v>
      </c>
      <c r="E40" s="6" t="s">
        <v>178</v>
      </c>
      <c r="F40" s="6" t="s">
        <v>277</v>
      </c>
      <c r="G40" s="6" t="s">
        <v>278</v>
      </c>
      <c r="H40" s="6" t="s">
        <v>388</v>
      </c>
      <c r="I40" s="6">
        <v>120000</v>
      </c>
      <c r="J40" s="6">
        <v>0</v>
      </c>
      <c r="K40" s="33" t="str">
        <f>VLOOKUP($C40,customer_master!$A$2:$F$21,1,0)</f>
        <v>C250011</v>
      </c>
      <c r="L40" s="6" t="b">
        <f t="shared" si="0"/>
        <v>1</v>
      </c>
      <c r="M40" s="6" t="b">
        <f t="shared" si="1"/>
        <v>1</v>
      </c>
    </row>
    <row r="41" spans="1:14" ht="16.5" customHeight="1">
      <c r="A41" s="31">
        <v>46312</v>
      </c>
      <c r="B41" s="32">
        <v>0.6875</v>
      </c>
      <c r="C41" s="6" t="s">
        <v>284</v>
      </c>
      <c r="D41" s="6" t="s">
        <v>276</v>
      </c>
      <c r="E41" s="6" t="s">
        <v>362</v>
      </c>
      <c r="F41" s="6" t="s">
        <v>363</v>
      </c>
      <c r="G41" s="6" t="s">
        <v>366</v>
      </c>
      <c r="H41" s="6" t="s">
        <v>375</v>
      </c>
      <c r="I41" s="38">
        <v>0</v>
      </c>
      <c r="J41" s="6">
        <v>0</v>
      </c>
      <c r="K41" s="33" t="str">
        <f>VLOOKUP($C41,customer_master!$A$2:$F$21,1,0)</f>
        <v>C250012</v>
      </c>
      <c r="L41" s="6" t="b">
        <f t="shared" si="0"/>
        <v>1</v>
      </c>
      <c r="M41" s="6" t="b">
        <f t="shared" si="1"/>
        <v>1</v>
      </c>
      <c r="N41" s="6" t="s">
        <v>415</v>
      </c>
    </row>
    <row r="42" spans="1:14" ht="16.5" customHeight="1">
      <c r="A42" s="31">
        <v>46312</v>
      </c>
      <c r="B42" s="32">
        <v>0.70833333333333337</v>
      </c>
      <c r="C42" s="6" t="s">
        <v>289</v>
      </c>
      <c r="D42" s="6" t="s">
        <v>365</v>
      </c>
      <c r="E42" s="6" t="s">
        <v>250</v>
      </c>
      <c r="F42" s="6" t="s">
        <v>368</v>
      </c>
      <c r="G42" s="6" t="s">
        <v>278</v>
      </c>
      <c r="H42" s="6" t="s">
        <v>367</v>
      </c>
      <c r="I42" s="6">
        <v>200000</v>
      </c>
      <c r="J42" s="6">
        <v>0</v>
      </c>
      <c r="K42" s="33" t="str">
        <f>VLOOKUP($C42,customer_master!$A$2:$F$21,1,0)</f>
        <v>C250013</v>
      </c>
      <c r="L42" s="6" t="b">
        <f t="shared" si="0"/>
        <v>1</v>
      </c>
      <c r="M42" s="6" t="b">
        <f t="shared" si="1"/>
        <v>1</v>
      </c>
    </row>
    <row r="43" spans="1:14" ht="16.5" customHeight="1">
      <c r="A43" s="31">
        <v>46312</v>
      </c>
      <c r="B43" s="32">
        <v>0.72222222222222221</v>
      </c>
      <c r="C43" s="6" t="s">
        <v>294</v>
      </c>
      <c r="D43" s="6" t="s">
        <v>276</v>
      </c>
      <c r="E43" s="6" t="s">
        <v>274</v>
      </c>
      <c r="F43" s="6" t="s">
        <v>277</v>
      </c>
      <c r="G43" s="6" t="s">
        <v>278</v>
      </c>
      <c r="H43" s="6" t="s">
        <v>369</v>
      </c>
      <c r="I43" s="6">
        <v>1200000</v>
      </c>
      <c r="J43" s="6">
        <v>0</v>
      </c>
      <c r="K43" s="33" t="str">
        <f>VLOOKUP($C43,customer_master!$A$2:$F$21,1,0)</f>
        <v>C250014</v>
      </c>
      <c r="L43" s="6" t="b">
        <f t="shared" si="0"/>
        <v>1</v>
      </c>
      <c r="M43" s="6" t="b">
        <f t="shared" si="1"/>
        <v>1</v>
      </c>
    </row>
    <row r="44" spans="1:14" ht="16.5" customHeight="1">
      <c r="A44" s="31">
        <v>46312</v>
      </c>
      <c r="B44" s="32">
        <v>0.74305555555555558</v>
      </c>
      <c r="C44" s="6" t="s">
        <v>298</v>
      </c>
      <c r="D44" s="6" t="s">
        <v>365</v>
      </c>
      <c r="E44" s="6" t="s">
        <v>153</v>
      </c>
      <c r="F44" s="6" t="s">
        <v>363</v>
      </c>
      <c r="G44" s="6" t="s">
        <v>278</v>
      </c>
      <c r="H44" s="6" t="s">
        <v>370</v>
      </c>
      <c r="I44" s="6">
        <v>290000</v>
      </c>
      <c r="J44" s="6">
        <v>0</v>
      </c>
      <c r="K44" s="33" t="str">
        <f>VLOOKUP($C44,customer_master!$A$2:$F$21,1,0)</f>
        <v>C250015</v>
      </c>
      <c r="L44" s="6" t="b">
        <f t="shared" si="0"/>
        <v>1</v>
      </c>
      <c r="M44" s="6" t="b">
        <f t="shared" si="1"/>
        <v>1</v>
      </c>
    </row>
    <row r="45" spans="1:14" ht="16.5" customHeight="1">
      <c r="A45" s="31">
        <v>46313</v>
      </c>
      <c r="B45" s="32">
        <v>0.41666666666666669</v>
      </c>
      <c r="C45" s="6" t="s">
        <v>302</v>
      </c>
      <c r="D45" s="6" t="s">
        <v>276</v>
      </c>
      <c r="E45" s="6" t="s">
        <v>244</v>
      </c>
      <c r="F45" s="6" t="s">
        <v>368</v>
      </c>
      <c r="G45" s="6" t="s">
        <v>372</v>
      </c>
      <c r="H45" s="6" t="s">
        <v>376</v>
      </c>
      <c r="I45" s="38">
        <v>0</v>
      </c>
      <c r="J45" s="6">
        <v>0</v>
      </c>
      <c r="K45" s="33" t="str">
        <f>VLOOKUP($C45,customer_master!$A$2:$F$21,1,0)</f>
        <v>C250016</v>
      </c>
      <c r="L45" s="6" t="b">
        <f t="shared" si="0"/>
        <v>1</v>
      </c>
      <c r="M45" s="6" t="b">
        <f t="shared" si="1"/>
        <v>1</v>
      </c>
      <c r="N45" s="6" t="s">
        <v>383</v>
      </c>
    </row>
    <row r="46" spans="1:14" ht="16.5" customHeight="1">
      <c r="A46" s="31">
        <v>46313</v>
      </c>
      <c r="B46" s="32">
        <v>0.4375</v>
      </c>
      <c r="C46" s="6" t="s">
        <v>306</v>
      </c>
      <c r="D46" s="6" t="s">
        <v>365</v>
      </c>
      <c r="E46" s="6" t="s">
        <v>178</v>
      </c>
      <c r="F46" s="6" t="s">
        <v>277</v>
      </c>
      <c r="G46" s="6" t="s">
        <v>278</v>
      </c>
      <c r="H46" s="6" t="s">
        <v>377</v>
      </c>
      <c r="I46" s="6">
        <v>50000</v>
      </c>
      <c r="J46" s="6">
        <v>0</v>
      </c>
      <c r="K46" s="33" t="str">
        <f>VLOOKUP($C46,customer_master!$A$2:$F$21,1,0)</f>
        <v>C250017</v>
      </c>
      <c r="L46" s="6" t="b">
        <f t="shared" si="0"/>
        <v>1</v>
      </c>
      <c r="M46" s="6" t="b">
        <f t="shared" si="1"/>
        <v>1</v>
      </c>
    </row>
    <row r="47" spans="1:14" ht="16.5" customHeight="1">
      <c r="A47" s="31">
        <v>46313</v>
      </c>
      <c r="B47" s="32">
        <v>0.46527777777777779</v>
      </c>
      <c r="C47" s="6" t="s">
        <v>310</v>
      </c>
      <c r="D47" s="6" t="s">
        <v>276</v>
      </c>
      <c r="E47" s="6" t="s">
        <v>362</v>
      </c>
      <c r="F47" s="6" t="s">
        <v>363</v>
      </c>
      <c r="G47" s="6" t="s">
        <v>278</v>
      </c>
      <c r="H47" s="6" t="s">
        <v>364</v>
      </c>
      <c r="I47" s="6">
        <v>45000</v>
      </c>
      <c r="J47" s="6">
        <v>0</v>
      </c>
      <c r="K47" s="33" t="str">
        <f>VLOOKUP($C47,customer_master!$A$2:$F$21,1,0)</f>
        <v>C250018</v>
      </c>
      <c r="L47" s="6" t="b">
        <f t="shared" si="0"/>
        <v>1</v>
      </c>
      <c r="M47" s="6" t="b">
        <f t="shared" si="1"/>
        <v>1</v>
      </c>
    </row>
    <row r="48" spans="1:14" ht="16.5" customHeight="1">
      <c r="A48" s="31">
        <v>46313</v>
      </c>
      <c r="B48" s="32">
        <v>0.5</v>
      </c>
      <c r="C48" s="6" t="s">
        <v>318</v>
      </c>
      <c r="D48" s="6" t="s">
        <v>276</v>
      </c>
      <c r="E48" s="6" t="s">
        <v>153</v>
      </c>
      <c r="F48" s="6" t="s">
        <v>277</v>
      </c>
      <c r="G48" s="6" t="s">
        <v>366</v>
      </c>
      <c r="H48" s="6" t="s">
        <v>386</v>
      </c>
      <c r="I48" s="6">
        <v>0</v>
      </c>
      <c r="J48" s="38">
        <v>0</v>
      </c>
      <c r="K48" s="33" t="str">
        <f>VLOOKUP($C48,customer_master!$A$2:$F$21,1,0)</f>
        <v>C250020</v>
      </c>
      <c r="L48" s="6" t="b">
        <f t="shared" si="0"/>
        <v>1</v>
      </c>
      <c r="M48" s="6" t="b">
        <f t="shared" si="1"/>
        <v>1</v>
      </c>
      <c r="N48" s="6" t="s">
        <v>395</v>
      </c>
    </row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A1:N48" xr:uid="{00000000-0009-0000-0000-000006000000}"/>
  <phoneticPr fontId="29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7B7B7"/>
  </sheetPr>
  <dimension ref="A1:F1000"/>
  <sheetViews>
    <sheetView workbookViewId="0"/>
  </sheetViews>
  <sheetFormatPr defaultColWidth="14.453125" defaultRowHeight="15" customHeight="1"/>
  <cols>
    <col min="1" max="1" width="12.08984375" customWidth="1"/>
    <col min="2" max="5" width="8.7265625" customWidth="1"/>
    <col min="6" max="6" width="16.26953125" customWidth="1"/>
    <col min="7" max="26" width="8.7265625" customWidth="1"/>
  </cols>
  <sheetData>
    <row r="1" spans="1:6" ht="16.5" customHeight="1">
      <c r="A1" s="6" t="s">
        <v>24</v>
      </c>
      <c r="B1" s="6" t="s">
        <v>30</v>
      </c>
      <c r="C1" s="6" t="s">
        <v>34</v>
      </c>
      <c r="D1" s="6" t="s">
        <v>39</v>
      </c>
      <c r="E1" s="6" t="s">
        <v>42</v>
      </c>
      <c r="F1" s="6" t="s">
        <v>47</v>
      </c>
    </row>
    <row r="2" spans="1:6" ht="16.5" customHeight="1">
      <c r="A2" s="31" t="s">
        <v>275</v>
      </c>
      <c r="B2" s="32" t="s">
        <v>280</v>
      </c>
      <c r="C2" s="6" t="s">
        <v>281</v>
      </c>
      <c r="D2" s="6" t="s">
        <v>282</v>
      </c>
      <c r="E2" s="6" t="s">
        <v>283</v>
      </c>
      <c r="F2" s="31">
        <v>45667</v>
      </c>
    </row>
    <row r="3" spans="1:6" ht="16.5" customHeight="1">
      <c r="A3" s="31" t="s">
        <v>284</v>
      </c>
      <c r="B3" s="32" t="s">
        <v>285</v>
      </c>
      <c r="C3" s="6" t="s">
        <v>286</v>
      </c>
      <c r="D3" s="6" t="s">
        <v>287</v>
      </c>
      <c r="E3" s="6" t="s">
        <v>288</v>
      </c>
      <c r="F3" s="31">
        <v>45703</v>
      </c>
    </row>
    <row r="4" spans="1:6" ht="16.5" customHeight="1">
      <c r="A4" s="31" t="s">
        <v>289</v>
      </c>
      <c r="B4" s="32" t="s">
        <v>290</v>
      </c>
      <c r="C4" s="6" t="s">
        <v>291</v>
      </c>
      <c r="D4" s="6" t="s">
        <v>292</v>
      </c>
      <c r="E4" s="6" t="s">
        <v>293</v>
      </c>
      <c r="F4" s="31">
        <v>45717</v>
      </c>
    </row>
    <row r="5" spans="1:6" ht="16.5" customHeight="1">
      <c r="A5" s="31" t="s">
        <v>294</v>
      </c>
      <c r="B5" s="32" t="s">
        <v>295</v>
      </c>
      <c r="C5" s="6" t="s">
        <v>296</v>
      </c>
      <c r="D5" s="6" t="s">
        <v>297</v>
      </c>
      <c r="E5" s="6" t="s">
        <v>288</v>
      </c>
      <c r="F5" s="31">
        <v>45757</v>
      </c>
    </row>
    <row r="6" spans="1:6" ht="16.5" customHeight="1">
      <c r="A6" s="31" t="s">
        <v>298</v>
      </c>
      <c r="B6" s="32" t="s">
        <v>299</v>
      </c>
      <c r="C6" s="6" t="s">
        <v>300</v>
      </c>
      <c r="D6" s="6" t="s">
        <v>301</v>
      </c>
      <c r="E6" s="6" t="s">
        <v>283</v>
      </c>
      <c r="F6" s="31">
        <v>45782</v>
      </c>
    </row>
    <row r="7" spans="1:6" ht="16.5" customHeight="1">
      <c r="A7" s="31" t="s">
        <v>302</v>
      </c>
      <c r="B7" s="32" t="s">
        <v>303</v>
      </c>
      <c r="C7" s="6" t="s">
        <v>304</v>
      </c>
      <c r="D7" s="6" t="s">
        <v>305</v>
      </c>
      <c r="E7" s="6" t="s">
        <v>293</v>
      </c>
      <c r="F7" s="31">
        <v>45828</v>
      </c>
    </row>
    <row r="8" spans="1:6" ht="16.5" customHeight="1">
      <c r="A8" s="31" t="s">
        <v>306</v>
      </c>
      <c r="B8" s="32" t="s">
        <v>307</v>
      </c>
      <c r="C8" s="6" t="s">
        <v>308</v>
      </c>
      <c r="D8" s="6" t="s">
        <v>309</v>
      </c>
      <c r="E8" s="6" t="s">
        <v>288</v>
      </c>
      <c r="F8" s="31">
        <v>45839</v>
      </c>
    </row>
    <row r="9" spans="1:6" ht="16.5" customHeight="1">
      <c r="A9" s="31" t="s">
        <v>310</v>
      </c>
      <c r="B9" s="32" t="s">
        <v>311</v>
      </c>
      <c r="C9" s="6" t="s">
        <v>312</v>
      </c>
      <c r="D9" s="6" t="s">
        <v>313</v>
      </c>
      <c r="E9" s="6" t="s">
        <v>288</v>
      </c>
      <c r="F9" s="31">
        <v>45884</v>
      </c>
    </row>
    <row r="10" spans="1:6" ht="16.5" customHeight="1">
      <c r="A10" s="31" t="s">
        <v>314</v>
      </c>
      <c r="B10" s="32" t="s">
        <v>315</v>
      </c>
      <c r="C10" s="6" t="s">
        <v>316</v>
      </c>
      <c r="D10" s="6" t="s">
        <v>317</v>
      </c>
      <c r="E10" s="6" t="s">
        <v>293</v>
      </c>
      <c r="F10" s="31">
        <v>45901</v>
      </c>
    </row>
    <row r="11" spans="1:6" ht="16.5" customHeight="1">
      <c r="A11" s="31" t="s">
        <v>318</v>
      </c>
      <c r="B11" s="32" t="s">
        <v>319</v>
      </c>
      <c r="C11" s="6" t="s">
        <v>320</v>
      </c>
      <c r="D11" s="6" t="s">
        <v>321</v>
      </c>
      <c r="E11" s="6" t="s">
        <v>283</v>
      </c>
      <c r="F11" s="31">
        <v>45940</v>
      </c>
    </row>
    <row r="12" spans="1:6" ht="16.5" customHeight="1">
      <c r="A12" s="31" t="s">
        <v>322</v>
      </c>
      <c r="B12" s="32" t="s">
        <v>323</v>
      </c>
      <c r="C12" s="6" t="s">
        <v>324</v>
      </c>
      <c r="D12" s="6" t="s">
        <v>325</v>
      </c>
      <c r="E12" s="6" t="s">
        <v>288</v>
      </c>
      <c r="F12" s="31">
        <v>46027</v>
      </c>
    </row>
    <row r="13" spans="1:6" ht="16.5" customHeight="1">
      <c r="A13" s="31" t="s">
        <v>326</v>
      </c>
      <c r="B13" s="32" t="s">
        <v>327</v>
      </c>
      <c r="C13" s="6" t="s">
        <v>328</v>
      </c>
      <c r="D13" s="6" t="s">
        <v>329</v>
      </c>
      <c r="E13" s="6" t="s">
        <v>288</v>
      </c>
      <c r="F13" s="31">
        <v>46067</v>
      </c>
    </row>
    <row r="14" spans="1:6" ht="16.5" customHeight="1">
      <c r="A14" s="31" t="s">
        <v>330</v>
      </c>
      <c r="B14" s="32" t="s">
        <v>331</v>
      </c>
      <c r="C14" s="6" t="s">
        <v>332</v>
      </c>
      <c r="D14" s="6" t="s">
        <v>333</v>
      </c>
      <c r="E14" s="6" t="s">
        <v>293</v>
      </c>
      <c r="F14" s="31">
        <v>46082</v>
      </c>
    </row>
    <row r="15" spans="1:6" ht="16.5" customHeight="1">
      <c r="A15" s="31" t="s">
        <v>334</v>
      </c>
      <c r="B15" s="32" t="s">
        <v>335</v>
      </c>
      <c r="C15" s="6" t="s">
        <v>336</v>
      </c>
      <c r="D15" s="6" t="s">
        <v>337</v>
      </c>
      <c r="E15" s="6" t="s">
        <v>288</v>
      </c>
      <c r="F15" s="31">
        <v>46123</v>
      </c>
    </row>
    <row r="16" spans="1:6" ht="16.5" customHeight="1">
      <c r="A16" s="31" t="s">
        <v>338</v>
      </c>
      <c r="B16" s="32" t="s">
        <v>339</v>
      </c>
      <c r="C16" s="6" t="s">
        <v>340</v>
      </c>
      <c r="D16" s="6" t="s">
        <v>341</v>
      </c>
      <c r="E16" s="6" t="s">
        <v>283</v>
      </c>
      <c r="F16" s="31">
        <v>46162</v>
      </c>
    </row>
    <row r="17" spans="1:6" ht="16.5" customHeight="1">
      <c r="A17" s="6" t="s">
        <v>342</v>
      </c>
      <c r="B17" s="6" t="s">
        <v>343</v>
      </c>
      <c r="C17" s="6" t="s">
        <v>344</v>
      </c>
      <c r="D17" s="6" t="s">
        <v>345</v>
      </c>
      <c r="E17" s="6" t="s">
        <v>293</v>
      </c>
      <c r="F17" s="31">
        <v>46188</v>
      </c>
    </row>
    <row r="18" spans="1:6" ht="16.5" customHeight="1">
      <c r="A18" s="6" t="s">
        <v>346</v>
      </c>
      <c r="B18" s="6" t="s">
        <v>347</v>
      </c>
      <c r="C18" s="6" t="s">
        <v>348</v>
      </c>
      <c r="D18" s="6" t="s">
        <v>349</v>
      </c>
      <c r="E18" s="6" t="s">
        <v>288</v>
      </c>
      <c r="F18" s="31">
        <v>46210</v>
      </c>
    </row>
    <row r="19" spans="1:6" ht="16.5" customHeight="1">
      <c r="A19" s="6" t="s">
        <v>350</v>
      </c>
      <c r="B19" s="6" t="s">
        <v>351</v>
      </c>
      <c r="C19" s="6" t="s">
        <v>352</v>
      </c>
      <c r="D19" s="6" t="s">
        <v>353</v>
      </c>
      <c r="E19" s="6" t="s">
        <v>288</v>
      </c>
      <c r="F19" s="31">
        <v>46259</v>
      </c>
    </row>
    <row r="20" spans="1:6" ht="16.5" customHeight="1">
      <c r="A20" s="6" t="s">
        <v>354</v>
      </c>
      <c r="B20" s="6" t="s">
        <v>355</v>
      </c>
      <c r="C20" s="6" t="s">
        <v>356</v>
      </c>
      <c r="D20" s="6" t="s">
        <v>357</v>
      </c>
      <c r="E20" s="6" t="s">
        <v>283</v>
      </c>
      <c r="F20" s="31">
        <v>46275</v>
      </c>
    </row>
    <row r="21" spans="1:6" ht="16.5" customHeight="1">
      <c r="A21" s="6" t="s">
        <v>358</v>
      </c>
      <c r="B21" s="6" t="s">
        <v>359</v>
      </c>
      <c r="C21" s="6" t="s">
        <v>360</v>
      </c>
      <c r="D21" s="6" t="s">
        <v>361</v>
      </c>
      <c r="E21" s="6" t="s">
        <v>293</v>
      </c>
      <c r="F21" s="31">
        <v>46296</v>
      </c>
    </row>
    <row r="22" spans="1:6" ht="16.5" customHeight="1"/>
    <row r="23" spans="1:6" ht="16.5" customHeight="1"/>
    <row r="24" spans="1:6" ht="16.5" customHeight="1"/>
    <row r="25" spans="1:6" ht="16.5" customHeight="1"/>
    <row r="26" spans="1:6" ht="16.5" customHeight="1"/>
    <row r="27" spans="1:6" ht="16.5" customHeight="1"/>
    <row r="28" spans="1:6" ht="16.5" customHeight="1"/>
    <row r="29" spans="1:6" ht="16.5" customHeight="1"/>
    <row r="30" spans="1:6" ht="16.5" customHeight="1"/>
    <row r="31" spans="1:6" ht="16.5" customHeight="1"/>
    <row r="32" spans="1: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9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7B7B7"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10.26953125" customWidth="1"/>
    <col min="2" max="26" width="8.7265625" customWidth="1"/>
  </cols>
  <sheetData>
    <row r="1" spans="1:14" ht="16.5" customHeight="1">
      <c r="A1" s="6" t="s">
        <v>52</v>
      </c>
      <c r="B1" s="6" t="s">
        <v>56</v>
      </c>
      <c r="C1" s="6" t="s">
        <v>24</v>
      </c>
      <c r="D1" s="6" t="s">
        <v>64</v>
      </c>
      <c r="E1" s="6" t="s">
        <v>69</v>
      </c>
      <c r="F1" s="6" t="s">
        <v>73</v>
      </c>
      <c r="G1" s="6" t="s">
        <v>78</v>
      </c>
      <c r="H1" s="6" t="s">
        <v>82</v>
      </c>
      <c r="I1" s="6" t="s">
        <v>87</v>
      </c>
      <c r="J1" s="6" t="s">
        <v>92</v>
      </c>
      <c r="K1" s="6" t="s">
        <v>273</v>
      </c>
    </row>
    <row r="2" spans="1:14" ht="16.5" customHeight="1">
      <c r="A2" s="31">
        <v>46310</v>
      </c>
      <c r="B2" s="32">
        <v>0.42708333333333331</v>
      </c>
      <c r="C2" s="6" t="s">
        <v>275</v>
      </c>
      <c r="D2" s="6" t="s">
        <v>276</v>
      </c>
      <c r="E2" s="6" t="s">
        <v>178</v>
      </c>
      <c r="F2" s="6" t="s">
        <v>277</v>
      </c>
      <c r="G2" s="6" t="s">
        <v>278</v>
      </c>
      <c r="H2" s="6" t="s">
        <v>279</v>
      </c>
      <c r="I2" s="6">
        <v>850000</v>
      </c>
      <c r="J2" s="6">
        <v>0</v>
      </c>
      <c r="K2" s="33" t="str">
        <f>VLOOKUP($C2,customer_master!$A$2:$F$21,1,0)</f>
        <v>C250011</v>
      </c>
      <c r="L2" s="6" t="b">
        <f t="shared" ref="L2:L48" si="0">IF(OR(G2="예약취소", G2="노쇼"), I2=0, TRUE)</f>
        <v>1</v>
      </c>
      <c r="M2" s="6" t="b">
        <f t="shared" ref="M2:M48" si="1">IF(OR(G2="예약취소", G2="노쇼"), IF(AND(I2=0, J2=0), TRUE, FALSE), TRUE)</f>
        <v>1</v>
      </c>
    </row>
    <row r="3" spans="1:14" ht="16.5" customHeight="1">
      <c r="A3" s="31">
        <v>46310</v>
      </c>
      <c r="B3" s="32">
        <v>0.44444444444444442</v>
      </c>
      <c r="C3" s="6" t="s">
        <v>284</v>
      </c>
      <c r="D3" s="6" t="s">
        <v>276</v>
      </c>
      <c r="E3" s="6" t="s">
        <v>362</v>
      </c>
      <c r="F3" s="6" t="s">
        <v>363</v>
      </c>
      <c r="G3" s="6" t="s">
        <v>278</v>
      </c>
      <c r="H3" s="6" t="s">
        <v>364</v>
      </c>
      <c r="I3" s="6">
        <v>45000</v>
      </c>
      <c r="J3" s="6">
        <v>0</v>
      </c>
      <c r="K3" s="33" t="str">
        <f>VLOOKUP($C3,customer_master!$A$2:$F$21,1,0)</f>
        <v>C250012</v>
      </c>
      <c r="L3" s="6" t="b">
        <f t="shared" si="0"/>
        <v>1</v>
      </c>
      <c r="M3" s="6" t="b">
        <f t="shared" si="1"/>
        <v>1</v>
      </c>
    </row>
    <row r="4" spans="1:14" ht="16.5" customHeight="1">
      <c r="A4" s="31">
        <v>46310</v>
      </c>
      <c r="B4" s="32">
        <v>0.45833333333333331</v>
      </c>
      <c r="C4" s="6" t="s">
        <v>289</v>
      </c>
      <c r="D4" s="6" t="s">
        <v>365</v>
      </c>
      <c r="E4" s="6" t="s">
        <v>274</v>
      </c>
      <c r="F4" s="6" t="s">
        <v>277</v>
      </c>
      <c r="G4" s="6" t="s">
        <v>366</v>
      </c>
      <c r="H4" s="6" t="s">
        <v>367</v>
      </c>
      <c r="I4" s="6">
        <v>0</v>
      </c>
      <c r="J4" s="6">
        <v>0</v>
      </c>
      <c r="K4" s="33" t="str">
        <f>VLOOKUP($C4,customer_master!$A$2:$F$21,1,0)</f>
        <v>C250013</v>
      </c>
      <c r="L4" s="6" t="b">
        <f t="shared" si="0"/>
        <v>1</v>
      </c>
      <c r="M4" s="6" t="b">
        <f t="shared" si="1"/>
        <v>1</v>
      </c>
    </row>
    <row r="5" spans="1:14" ht="16.5" customHeight="1">
      <c r="A5" s="31">
        <v>46310</v>
      </c>
      <c r="B5" s="32">
        <v>0.47222222222222221</v>
      </c>
      <c r="C5" s="6" t="s">
        <v>294</v>
      </c>
      <c r="D5" s="6" t="s">
        <v>276</v>
      </c>
      <c r="E5" s="6" t="s">
        <v>153</v>
      </c>
      <c r="F5" s="6" t="s">
        <v>368</v>
      </c>
      <c r="G5" s="6" t="s">
        <v>278</v>
      </c>
      <c r="H5" s="6" t="s">
        <v>369</v>
      </c>
      <c r="I5" s="6">
        <v>1200000</v>
      </c>
      <c r="J5" s="6">
        <v>300000</v>
      </c>
      <c r="K5" s="33" t="str">
        <f>VLOOKUP($C5,customer_master!$A$2:$F$21,1,0)</f>
        <v>C250014</v>
      </c>
      <c r="L5" s="6" t="b">
        <f t="shared" si="0"/>
        <v>1</v>
      </c>
      <c r="M5" s="6" t="b">
        <f t="shared" si="1"/>
        <v>1</v>
      </c>
    </row>
    <row r="6" spans="1:14" ht="16.5" customHeight="1">
      <c r="A6" s="31">
        <v>46310</v>
      </c>
      <c r="B6" s="32">
        <v>0.5</v>
      </c>
      <c r="C6" s="6" t="s">
        <v>298</v>
      </c>
      <c r="D6" s="6" t="s">
        <v>365</v>
      </c>
      <c r="E6" s="6" t="s">
        <v>244</v>
      </c>
      <c r="F6" s="6" t="s">
        <v>363</v>
      </c>
      <c r="G6" s="6" t="s">
        <v>278</v>
      </c>
      <c r="H6" s="6" t="s">
        <v>370</v>
      </c>
      <c r="I6" s="6">
        <v>290000</v>
      </c>
      <c r="J6" s="6">
        <v>0</v>
      </c>
      <c r="K6" s="33" t="str">
        <f>VLOOKUP($C6,customer_master!$A$2:$F$21,1,0)</f>
        <v>C250015</v>
      </c>
      <c r="L6" s="6" t="b">
        <f t="shared" si="0"/>
        <v>1</v>
      </c>
      <c r="M6" s="6" t="b">
        <f t="shared" si="1"/>
        <v>1</v>
      </c>
    </row>
    <row r="7" spans="1:14" ht="16.5" customHeight="1">
      <c r="A7" s="31">
        <v>46310</v>
      </c>
      <c r="B7" s="32">
        <v>0.52083333333333337</v>
      </c>
      <c r="C7" s="6" t="s">
        <v>302</v>
      </c>
      <c r="D7" s="6" t="s">
        <v>276</v>
      </c>
      <c r="E7" s="6" t="s">
        <v>362</v>
      </c>
      <c r="F7" s="6" t="s">
        <v>277</v>
      </c>
      <c r="G7" s="6" t="s">
        <v>278</v>
      </c>
      <c r="H7" s="6" t="s">
        <v>371</v>
      </c>
      <c r="I7" s="6">
        <v>39000</v>
      </c>
      <c r="J7" s="6">
        <v>0</v>
      </c>
      <c r="K7" s="33" t="str">
        <f>VLOOKUP($C7,customer_master!$A$2:$F$21,1,0)</f>
        <v>C250016</v>
      </c>
      <c r="L7" s="6" t="b">
        <f t="shared" si="0"/>
        <v>1</v>
      </c>
      <c r="M7" s="6" t="b">
        <f t="shared" si="1"/>
        <v>1</v>
      </c>
    </row>
    <row r="8" spans="1:14" ht="16.5" customHeight="1">
      <c r="A8" s="31">
        <v>46310</v>
      </c>
      <c r="B8" s="32">
        <v>0.58333333333333337</v>
      </c>
      <c r="C8" s="6" t="s">
        <v>306</v>
      </c>
      <c r="D8" s="6" t="s">
        <v>365</v>
      </c>
      <c r="E8" s="6" t="s">
        <v>250</v>
      </c>
      <c r="F8" s="6" t="s">
        <v>368</v>
      </c>
      <c r="G8" s="6" t="s">
        <v>372</v>
      </c>
      <c r="H8" s="6" t="s">
        <v>373</v>
      </c>
      <c r="I8" s="6">
        <v>0</v>
      </c>
      <c r="J8" s="6">
        <v>0</v>
      </c>
      <c r="K8" s="33" t="str">
        <f>VLOOKUP($C8,customer_master!$A$2:$F$21,1,0)</f>
        <v>C250017</v>
      </c>
      <c r="L8" s="6" t="b">
        <f t="shared" si="0"/>
        <v>1</v>
      </c>
      <c r="M8" s="6" t="b">
        <f t="shared" si="1"/>
        <v>1</v>
      </c>
    </row>
    <row r="9" spans="1:14" ht="16.5" customHeight="1">
      <c r="A9" s="31">
        <v>46310</v>
      </c>
      <c r="B9" s="32">
        <v>0.59722222222222221</v>
      </c>
      <c r="C9" s="6" t="s">
        <v>310</v>
      </c>
      <c r="D9" s="6" t="s">
        <v>276</v>
      </c>
      <c r="E9" s="6" t="s">
        <v>178</v>
      </c>
      <c r="F9" s="6" t="s">
        <v>363</v>
      </c>
      <c r="G9" s="6" t="s">
        <v>278</v>
      </c>
      <c r="H9" s="6" t="s">
        <v>375</v>
      </c>
      <c r="I9" s="6">
        <v>35000</v>
      </c>
      <c r="J9" s="6">
        <v>0</v>
      </c>
      <c r="K9" s="33" t="str">
        <f>VLOOKUP($C9,customer_master!$A$2:$F$21,1,0)</f>
        <v>C250018</v>
      </c>
      <c r="L9" s="6" t="b">
        <f t="shared" si="0"/>
        <v>1</v>
      </c>
      <c r="M9" s="6" t="b">
        <f t="shared" si="1"/>
        <v>1</v>
      </c>
    </row>
    <row r="10" spans="1:14" ht="16.5" customHeight="1">
      <c r="A10" s="31">
        <v>46310</v>
      </c>
      <c r="B10" s="32">
        <v>0.63541666666666663</v>
      </c>
      <c r="C10" s="6" t="s">
        <v>318</v>
      </c>
      <c r="D10" s="6" t="s">
        <v>276</v>
      </c>
      <c r="E10" s="6" t="s">
        <v>274</v>
      </c>
      <c r="F10" s="6" t="s">
        <v>368</v>
      </c>
      <c r="G10" s="6" t="s">
        <v>278</v>
      </c>
      <c r="H10" s="6" t="s">
        <v>376</v>
      </c>
      <c r="I10" s="6">
        <v>150000</v>
      </c>
      <c r="J10" s="6">
        <v>0</v>
      </c>
      <c r="K10" s="33" t="str">
        <f>VLOOKUP($C10,customer_master!$A$2:$F$21,1,0)</f>
        <v>C250020</v>
      </c>
      <c r="L10" s="6" t="b">
        <f t="shared" si="0"/>
        <v>1</v>
      </c>
      <c r="M10" s="6" t="b">
        <f t="shared" si="1"/>
        <v>1</v>
      </c>
    </row>
    <row r="11" spans="1:14" ht="16.5" customHeight="1">
      <c r="A11" s="31">
        <v>46310</v>
      </c>
      <c r="B11" s="32">
        <v>0.65277777777777779</v>
      </c>
      <c r="C11" s="6" t="s">
        <v>322</v>
      </c>
      <c r="D11" s="6" t="s">
        <v>365</v>
      </c>
      <c r="E11" s="6" t="s">
        <v>244</v>
      </c>
      <c r="F11" s="6" t="s">
        <v>277</v>
      </c>
      <c r="G11" s="6" t="s">
        <v>366</v>
      </c>
      <c r="H11" s="6" t="s">
        <v>377</v>
      </c>
      <c r="I11" s="6">
        <v>0</v>
      </c>
      <c r="J11" s="6">
        <v>0</v>
      </c>
      <c r="K11" s="33" t="str">
        <f>VLOOKUP($C11,customer_master!$A$2:$F$21,1,0)</f>
        <v>C260021</v>
      </c>
      <c r="L11" s="6" t="b">
        <f t="shared" si="0"/>
        <v>1</v>
      </c>
      <c r="M11" s="6" t="b">
        <f t="shared" si="1"/>
        <v>1</v>
      </c>
    </row>
    <row r="12" spans="1:14" ht="16.5" customHeight="1">
      <c r="A12" s="31">
        <v>46310</v>
      </c>
      <c r="B12" s="32">
        <v>0.66666666666666663</v>
      </c>
      <c r="C12" s="6" t="s">
        <v>326</v>
      </c>
      <c r="D12" s="6" t="s">
        <v>276</v>
      </c>
      <c r="E12" s="6" t="s">
        <v>362</v>
      </c>
      <c r="F12" s="6" t="s">
        <v>363</v>
      </c>
      <c r="G12" s="6" t="s">
        <v>372</v>
      </c>
      <c r="H12" s="6" t="s">
        <v>279</v>
      </c>
      <c r="I12" s="38">
        <v>0</v>
      </c>
      <c r="J12" s="6">
        <v>0</v>
      </c>
      <c r="K12" s="33" t="str">
        <f>VLOOKUP($C12,customer_master!$A$2:$F$21,1,0)</f>
        <v>C260022</v>
      </c>
      <c r="L12" s="6" t="b">
        <f t="shared" si="0"/>
        <v>1</v>
      </c>
      <c r="M12" s="6" t="b">
        <f t="shared" si="1"/>
        <v>1</v>
      </c>
      <c r="N12" s="6" t="s">
        <v>383</v>
      </c>
    </row>
    <row r="13" spans="1:14" ht="16.5" customHeight="1">
      <c r="A13" s="31">
        <v>46310</v>
      </c>
      <c r="B13" s="32">
        <v>0.68055555555555558</v>
      </c>
      <c r="C13" s="6" t="s">
        <v>330</v>
      </c>
      <c r="D13" s="6" t="s">
        <v>365</v>
      </c>
      <c r="E13" s="6" t="s">
        <v>178</v>
      </c>
      <c r="F13" s="6" t="s">
        <v>368</v>
      </c>
      <c r="G13" s="6" t="s">
        <v>278</v>
      </c>
      <c r="H13" s="6" t="s">
        <v>364</v>
      </c>
      <c r="I13" s="6">
        <v>45000</v>
      </c>
      <c r="J13" s="6">
        <v>0</v>
      </c>
      <c r="K13" s="33" t="str">
        <f>VLOOKUP($C13,customer_master!$A$2:$F$21,1,0)</f>
        <v>C260023</v>
      </c>
      <c r="L13" s="6" t="b">
        <f t="shared" si="0"/>
        <v>1</v>
      </c>
      <c r="M13" s="6" t="b">
        <f t="shared" si="1"/>
        <v>1</v>
      </c>
    </row>
    <row r="14" spans="1:14" ht="16.5" customHeight="1">
      <c r="A14" s="31">
        <v>46310</v>
      </c>
      <c r="B14" s="32">
        <v>0.70833333333333337</v>
      </c>
      <c r="C14" s="6" t="s">
        <v>334</v>
      </c>
      <c r="D14" s="6" t="s">
        <v>276</v>
      </c>
      <c r="E14" s="6" t="s">
        <v>274</v>
      </c>
      <c r="F14" s="6" t="s">
        <v>277</v>
      </c>
      <c r="G14" s="6" t="s">
        <v>278</v>
      </c>
      <c r="H14" s="6" t="s">
        <v>384</v>
      </c>
      <c r="I14" s="6">
        <v>60000</v>
      </c>
      <c r="J14" s="6">
        <v>0</v>
      </c>
      <c r="K14" s="33" t="str">
        <f>VLOOKUP($C14,customer_master!$A$2:$F$21,1,0)</f>
        <v>C260024</v>
      </c>
      <c r="L14" s="6" t="b">
        <f t="shared" si="0"/>
        <v>1</v>
      </c>
      <c r="M14" s="6" t="b">
        <f t="shared" si="1"/>
        <v>1</v>
      </c>
    </row>
    <row r="15" spans="1:14" ht="16.5" customHeight="1">
      <c r="A15" s="31">
        <v>46310</v>
      </c>
      <c r="B15" s="32">
        <v>0.72916666666666663</v>
      </c>
      <c r="C15" s="6" t="s">
        <v>338</v>
      </c>
      <c r="D15" s="6" t="s">
        <v>365</v>
      </c>
      <c r="E15" s="6" t="s">
        <v>153</v>
      </c>
      <c r="F15" s="6" t="s">
        <v>363</v>
      </c>
      <c r="G15" s="6" t="s">
        <v>278</v>
      </c>
      <c r="H15" s="6" t="s">
        <v>385</v>
      </c>
      <c r="I15" s="6">
        <v>220000</v>
      </c>
      <c r="J15" s="6">
        <v>0</v>
      </c>
      <c r="K15" s="33" t="str">
        <f>VLOOKUP($C15,customer_master!$A$2:$F$21,1,0)</f>
        <v>C260025</v>
      </c>
      <c r="L15" s="6" t="b">
        <f t="shared" si="0"/>
        <v>1</v>
      </c>
      <c r="M15" s="6" t="b">
        <f t="shared" si="1"/>
        <v>1</v>
      </c>
    </row>
    <row r="16" spans="1:14" ht="16.5" customHeight="1">
      <c r="A16" s="31">
        <v>46310</v>
      </c>
      <c r="B16" s="32">
        <v>0.75</v>
      </c>
      <c r="C16" s="6" t="s">
        <v>342</v>
      </c>
      <c r="D16" s="6" t="s">
        <v>276</v>
      </c>
      <c r="E16" s="6" t="s">
        <v>362</v>
      </c>
      <c r="F16" s="6" t="s">
        <v>368</v>
      </c>
      <c r="G16" s="6" t="s">
        <v>278</v>
      </c>
      <c r="H16" s="6" t="s">
        <v>386</v>
      </c>
      <c r="I16" s="6">
        <v>0</v>
      </c>
      <c r="J16" s="6">
        <v>0</v>
      </c>
      <c r="K16" s="6" t="str">
        <f>VLOOKUP($C16,customer_master!$A$2:$F$21,1,0)</f>
        <v>C260026</v>
      </c>
      <c r="L16" s="6" t="b">
        <f t="shared" si="0"/>
        <v>1</v>
      </c>
      <c r="M16" s="6" t="b">
        <f t="shared" si="1"/>
        <v>1</v>
      </c>
    </row>
    <row r="17" spans="1:14" ht="16.5" customHeight="1">
      <c r="A17" s="31">
        <v>46311</v>
      </c>
      <c r="B17" s="32">
        <v>0.41666666666666669</v>
      </c>
      <c r="C17" s="6" t="s">
        <v>346</v>
      </c>
      <c r="D17" s="6" t="s">
        <v>365</v>
      </c>
      <c r="E17" s="6" t="s">
        <v>250</v>
      </c>
      <c r="F17" s="6" t="s">
        <v>277</v>
      </c>
      <c r="G17" s="6" t="s">
        <v>278</v>
      </c>
      <c r="H17" s="6" t="s">
        <v>387</v>
      </c>
      <c r="I17" s="6">
        <v>450000</v>
      </c>
      <c r="J17" s="6">
        <v>0</v>
      </c>
      <c r="K17" s="6" t="str">
        <f>VLOOKUP($C17,customer_master!$A$2:$F$21,1,0)</f>
        <v>C260027</v>
      </c>
      <c r="L17" s="6" t="b">
        <f t="shared" si="0"/>
        <v>1</v>
      </c>
      <c r="M17" s="6" t="b">
        <f t="shared" si="1"/>
        <v>1</v>
      </c>
    </row>
    <row r="18" spans="1:14" ht="16.5" customHeight="1">
      <c r="A18" s="31">
        <v>46311</v>
      </c>
      <c r="B18" s="32">
        <v>0.4375</v>
      </c>
      <c r="C18" s="6" t="s">
        <v>350</v>
      </c>
      <c r="D18" s="6" t="s">
        <v>276</v>
      </c>
      <c r="E18" s="6" t="s">
        <v>244</v>
      </c>
      <c r="F18" s="6" t="s">
        <v>363</v>
      </c>
      <c r="G18" s="6" t="s">
        <v>278</v>
      </c>
      <c r="H18" s="6" t="s">
        <v>388</v>
      </c>
      <c r="I18" s="6">
        <v>120000</v>
      </c>
      <c r="J18" s="6">
        <v>0</v>
      </c>
      <c r="K18" s="6" t="str">
        <f>VLOOKUP($C18,customer_master!$A$2:$F$21,1,0)</f>
        <v>C260028</v>
      </c>
      <c r="L18" s="6" t="b">
        <f t="shared" si="0"/>
        <v>1</v>
      </c>
      <c r="M18" s="6" t="b">
        <f t="shared" si="1"/>
        <v>1</v>
      </c>
    </row>
    <row r="19" spans="1:14" ht="16.5" customHeight="1">
      <c r="A19" s="31">
        <v>46311</v>
      </c>
      <c r="B19" s="32">
        <v>0.46875</v>
      </c>
      <c r="C19" s="6" t="s">
        <v>354</v>
      </c>
      <c r="D19" s="6" t="s">
        <v>365</v>
      </c>
      <c r="E19" s="6" t="s">
        <v>274</v>
      </c>
      <c r="F19" s="6" t="s">
        <v>368</v>
      </c>
      <c r="G19" s="6" t="s">
        <v>366</v>
      </c>
      <c r="H19" s="6" t="s">
        <v>389</v>
      </c>
      <c r="I19" s="6">
        <v>0</v>
      </c>
      <c r="J19" s="6">
        <v>0</v>
      </c>
      <c r="K19" s="6" t="str">
        <f>VLOOKUP($C19,customer_master!$A$2:$F$21,1,0)</f>
        <v>C260029</v>
      </c>
      <c r="L19" s="6" t="b">
        <f t="shared" si="0"/>
        <v>1</v>
      </c>
      <c r="M19" s="6" t="b">
        <f t="shared" si="1"/>
        <v>1</v>
      </c>
    </row>
    <row r="20" spans="1:14" ht="16.5" customHeight="1">
      <c r="A20" s="31">
        <v>46311</v>
      </c>
      <c r="B20" s="32">
        <v>0.48958333333333331</v>
      </c>
      <c r="C20" s="6" t="s">
        <v>358</v>
      </c>
      <c r="D20" s="6" t="s">
        <v>276</v>
      </c>
      <c r="E20" s="6" t="s">
        <v>362</v>
      </c>
      <c r="F20" s="6" t="s">
        <v>277</v>
      </c>
      <c r="G20" s="6" t="s">
        <v>278</v>
      </c>
      <c r="H20" s="6" t="s">
        <v>390</v>
      </c>
      <c r="I20" s="6">
        <v>150000</v>
      </c>
      <c r="J20" s="6">
        <v>0</v>
      </c>
      <c r="K20" s="6" t="str">
        <f>VLOOKUP($C20,customer_master!$A$2:$F$21,1,0)</f>
        <v>C260030</v>
      </c>
      <c r="L20" s="6" t="b">
        <f t="shared" si="0"/>
        <v>1</v>
      </c>
      <c r="M20" s="6" t="b">
        <f t="shared" si="1"/>
        <v>1</v>
      </c>
    </row>
    <row r="21" spans="1:14" ht="16.5" customHeight="1">
      <c r="A21" s="31">
        <v>46311</v>
      </c>
      <c r="B21" s="32">
        <v>0.52083333333333337</v>
      </c>
      <c r="C21" s="6" t="s">
        <v>275</v>
      </c>
      <c r="D21" s="6" t="s">
        <v>365</v>
      </c>
      <c r="E21" s="6" t="s">
        <v>178</v>
      </c>
      <c r="F21" s="6" t="s">
        <v>363</v>
      </c>
      <c r="G21" s="6" t="s">
        <v>278</v>
      </c>
      <c r="H21" s="6" t="s">
        <v>369</v>
      </c>
      <c r="I21" s="6">
        <v>1200000</v>
      </c>
      <c r="J21" s="6">
        <v>0</v>
      </c>
      <c r="K21" s="33" t="str">
        <f>VLOOKUP($C21,customer_master!$A$2:$F$21,1,0)</f>
        <v>C250011</v>
      </c>
      <c r="L21" s="6" t="b">
        <f t="shared" si="0"/>
        <v>1</v>
      </c>
      <c r="M21" s="6" t="b">
        <f t="shared" si="1"/>
        <v>1</v>
      </c>
    </row>
    <row r="22" spans="1:14" ht="16.5" customHeight="1">
      <c r="A22" s="31">
        <v>46311</v>
      </c>
      <c r="B22" s="32">
        <v>0.58333333333333337</v>
      </c>
      <c r="C22" s="6" t="s">
        <v>284</v>
      </c>
      <c r="D22" s="6" t="s">
        <v>276</v>
      </c>
      <c r="E22" s="6" t="s">
        <v>153</v>
      </c>
      <c r="F22" s="6" t="s">
        <v>368</v>
      </c>
      <c r="G22" s="6" t="s">
        <v>372</v>
      </c>
      <c r="H22" s="6" t="s">
        <v>391</v>
      </c>
      <c r="I22" s="6">
        <v>0</v>
      </c>
      <c r="J22" s="6">
        <v>0</v>
      </c>
      <c r="K22" s="33" t="str">
        <f>VLOOKUP($C22,customer_master!$A$2:$F$21,1,0)</f>
        <v>C250012</v>
      </c>
      <c r="L22" s="6" t="b">
        <f t="shared" si="0"/>
        <v>1</v>
      </c>
      <c r="M22" s="6" t="b">
        <f t="shared" si="1"/>
        <v>1</v>
      </c>
    </row>
    <row r="23" spans="1:14" ht="16.5" customHeight="1">
      <c r="A23" s="31">
        <v>46311</v>
      </c>
      <c r="B23" s="32">
        <v>0.61111111111111116</v>
      </c>
      <c r="C23" s="6" t="s">
        <v>289</v>
      </c>
      <c r="D23" s="6" t="s">
        <v>365</v>
      </c>
      <c r="E23" s="6" t="s">
        <v>244</v>
      </c>
      <c r="F23" s="6" t="s">
        <v>277</v>
      </c>
      <c r="G23" s="6" t="s">
        <v>278</v>
      </c>
      <c r="H23" s="6" t="s">
        <v>279</v>
      </c>
      <c r="I23" s="6">
        <v>850000</v>
      </c>
      <c r="J23" s="6">
        <v>50000</v>
      </c>
      <c r="K23" s="33" t="str">
        <f>VLOOKUP($C23,customer_master!$A$2:$F$21,1,0)</f>
        <v>C250013</v>
      </c>
      <c r="L23" s="6" t="b">
        <f t="shared" si="0"/>
        <v>1</v>
      </c>
      <c r="M23" s="6" t="b">
        <f t="shared" si="1"/>
        <v>1</v>
      </c>
    </row>
    <row r="24" spans="1:14" ht="16.5" customHeight="1">
      <c r="A24" s="31">
        <v>46311</v>
      </c>
      <c r="B24" s="32">
        <v>0.625</v>
      </c>
      <c r="C24" s="6" t="s">
        <v>294</v>
      </c>
      <c r="D24" s="6" t="s">
        <v>276</v>
      </c>
      <c r="E24" s="6" t="s">
        <v>274</v>
      </c>
      <c r="F24" s="6" t="s">
        <v>363</v>
      </c>
      <c r="G24" s="6" t="s">
        <v>278</v>
      </c>
      <c r="H24" s="6" t="s">
        <v>364</v>
      </c>
      <c r="I24" s="6">
        <v>45000</v>
      </c>
      <c r="J24" s="6">
        <v>0</v>
      </c>
      <c r="K24" s="33" t="str">
        <f>VLOOKUP($C24,customer_master!$A$2:$F$21,1,0)</f>
        <v>C250014</v>
      </c>
      <c r="L24" s="6" t="b">
        <f t="shared" si="0"/>
        <v>1</v>
      </c>
      <c r="M24" s="6" t="b">
        <f t="shared" si="1"/>
        <v>1</v>
      </c>
    </row>
    <row r="25" spans="1:14" ht="16.5" customHeight="1">
      <c r="A25" s="31">
        <v>46311</v>
      </c>
      <c r="B25" s="32">
        <v>0.63888888888888884</v>
      </c>
      <c r="C25" s="6" t="s">
        <v>298</v>
      </c>
      <c r="D25" s="6" t="s">
        <v>365</v>
      </c>
      <c r="E25" s="6" t="s">
        <v>250</v>
      </c>
      <c r="F25" s="6" t="s">
        <v>368</v>
      </c>
      <c r="G25" s="6" t="s">
        <v>278</v>
      </c>
      <c r="H25" s="6" t="s">
        <v>367</v>
      </c>
      <c r="I25" s="6">
        <v>200000</v>
      </c>
      <c r="J25" s="38">
        <v>0</v>
      </c>
      <c r="K25" s="33" t="str">
        <f>VLOOKUP($C25,customer_master!$A$2:$F$21,1,0)</f>
        <v>C250015</v>
      </c>
      <c r="L25" s="6" t="b">
        <f t="shared" si="0"/>
        <v>1</v>
      </c>
      <c r="M25" s="6" t="b">
        <f t="shared" si="1"/>
        <v>1</v>
      </c>
      <c r="N25" s="6" t="s">
        <v>393</v>
      </c>
    </row>
    <row r="26" spans="1:14" ht="16.5" customHeight="1">
      <c r="A26" s="31">
        <v>46311</v>
      </c>
      <c r="B26" s="32">
        <v>0.66666666666666663</v>
      </c>
      <c r="C26" s="6" t="s">
        <v>302</v>
      </c>
      <c r="D26" s="6" t="s">
        <v>276</v>
      </c>
      <c r="E26" s="6" t="s">
        <v>178</v>
      </c>
      <c r="F26" s="6" t="s">
        <v>277</v>
      </c>
      <c r="G26" s="6" t="s">
        <v>278</v>
      </c>
      <c r="H26" s="6" t="s">
        <v>394</v>
      </c>
      <c r="I26" s="6">
        <v>120000</v>
      </c>
      <c r="J26" s="6">
        <v>0</v>
      </c>
      <c r="K26" s="33" t="str">
        <f>VLOOKUP($C26,customer_master!$A$2:$F$21,1,0)</f>
        <v>C250016</v>
      </c>
      <c r="L26" s="6" t="b">
        <f t="shared" si="0"/>
        <v>1</v>
      </c>
      <c r="M26" s="6" t="b">
        <f t="shared" si="1"/>
        <v>1</v>
      </c>
    </row>
    <row r="27" spans="1:14" ht="16.5" customHeight="1">
      <c r="A27" s="31">
        <v>46311</v>
      </c>
      <c r="B27" s="32">
        <v>0.6875</v>
      </c>
      <c r="C27" s="6" t="s">
        <v>306</v>
      </c>
      <c r="D27" s="6" t="s">
        <v>365</v>
      </c>
      <c r="E27" s="6" t="s">
        <v>362</v>
      </c>
      <c r="F27" s="6" t="s">
        <v>363</v>
      </c>
      <c r="G27" s="6" t="s">
        <v>372</v>
      </c>
      <c r="H27" s="6" t="s">
        <v>370</v>
      </c>
      <c r="I27" s="6">
        <v>0</v>
      </c>
      <c r="J27" s="38">
        <v>0</v>
      </c>
      <c r="K27" s="33" t="str">
        <f>VLOOKUP($C27,customer_master!$A$2:$F$21,1,0)</f>
        <v>C250017</v>
      </c>
      <c r="L27" s="6" t="b">
        <f t="shared" si="0"/>
        <v>1</v>
      </c>
      <c r="M27" s="6" t="b">
        <f t="shared" si="1"/>
        <v>1</v>
      </c>
      <c r="N27" s="6" t="s">
        <v>395</v>
      </c>
    </row>
    <row r="28" spans="1:14" ht="16.5" customHeight="1">
      <c r="A28" s="31">
        <v>46311</v>
      </c>
      <c r="B28" s="32">
        <v>0.70833333333333337</v>
      </c>
      <c r="C28" s="6" t="s">
        <v>310</v>
      </c>
      <c r="D28" s="6" t="s">
        <v>276</v>
      </c>
      <c r="E28" s="6" t="s">
        <v>244</v>
      </c>
      <c r="F28" s="6" t="s">
        <v>368</v>
      </c>
      <c r="G28" s="6" t="s">
        <v>366</v>
      </c>
      <c r="H28" s="6" t="s">
        <v>371</v>
      </c>
      <c r="I28" s="6">
        <v>0</v>
      </c>
      <c r="J28" s="6">
        <v>0</v>
      </c>
      <c r="K28" s="33" t="str">
        <f>VLOOKUP($C28,customer_master!$A$2:$F$21,1,0)</f>
        <v>C250018</v>
      </c>
      <c r="L28" s="6" t="b">
        <f t="shared" si="0"/>
        <v>1</v>
      </c>
      <c r="M28" s="6" t="b">
        <f t="shared" si="1"/>
        <v>1</v>
      </c>
    </row>
    <row r="29" spans="1:14" ht="16.5" customHeight="1">
      <c r="A29" s="31">
        <v>46311</v>
      </c>
      <c r="B29" s="32">
        <v>0.73611111111111116</v>
      </c>
      <c r="C29" s="6" t="s">
        <v>314</v>
      </c>
      <c r="D29" s="6" t="s">
        <v>365</v>
      </c>
      <c r="E29" s="6" t="s">
        <v>274</v>
      </c>
      <c r="F29" s="6" t="s">
        <v>277</v>
      </c>
      <c r="G29" s="6" t="s">
        <v>278</v>
      </c>
      <c r="H29" s="6" t="s">
        <v>388</v>
      </c>
      <c r="I29" s="6">
        <v>120000</v>
      </c>
      <c r="J29" s="6">
        <v>0</v>
      </c>
      <c r="K29" s="33" t="str">
        <f>VLOOKUP($C29,customer_master!$A$2:$F$21,1,0)</f>
        <v>C250019</v>
      </c>
      <c r="L29" s="6" t="b">
        <f t="shared" si="0"/>
        <v>1</v>
      </c>
      <c r="M29" s="6" t="b">
        <f t="shared" si="1"/>
        <v>1</v>
      </c>
    </row>
    <row r="30" spans="1:14" ht="16.5" customHeight="1">
      <c r="A30" s="31">
        <v>46312</v>
      </c>
      <c r="B30" s="32">
        <v>0.41666666666666669</v>
      </c>
      <c r="C30" s="6" t="s">
        <v>318</v>
      </c>
      <c r="D30" s="6" t="s">
        <v>276</v>
      </c>
      <c r="E30" s="6" t="s">
        <v>153</v>
      </c>
      <c r="F30" s="6" t="s">
        <v>363</v>
      </c>
      <c r="G30" s="6" t="s">
        <v>278</v>
      </c>
      <c r="H30" s="6" t="s">
        <v>375</v>
      </c>
      <c r="I30" s="6">
        <v>35000</v>
      </c>
      <c r="J30" s="6">
        <v>0</v>
      </c>
      <c r="K30" s="33" t="str">
        <f>VLOOKUP($C30,customer_master!$A$2:$F$21,1,0)</f>
        <v>C250020</v>
      </c>
      <c r="L30" s="6" t="b">
        <f t="shared" si="0"/>
        <v>1</v>
      </c>
      <c r="M30" s="6" t="b">
        <f t="shared" si="1"/>
        <v>1</v>
      </c>
    </row>
    <row r="31" spans="1:14" ht="16.5" customHeight="1">
      <c r="A31" s="31">
        <v>46312</v>
      </c>
      <c r="B31" s="32">
        <v>0.42708333333333331</v>
      </c>
      <c r="C31" s="6" t="s">
        <v>322</v>
      </c>
      <c r="D31" s="6" t="s">
        <v>365</v>
      </c>
      <c r="E31" s="6" t="s">
        <v>178</v>
      </c>
      <c r="F31" s="6" t="s">
        <v>368</v>
      </c>
      <c r="G31" s="6" t="s">
        <v>278</v>
      </c>
      <c r="H31" s="6" t="s">
        <v>399</v>
      </c>
      <c r="I31" s="6">
        <v>180000</v>
      </c>
      <c r="J31" s="6">
        <v>50000</v>
      </c>
      <c r="K31" s="33" t="str">
        <f>VLOOKUP($C31,customer_master!$A$2:$F$21,1,0)</f>
        <v>C260021</v>
      </c>
      <c r="L31" s="6" t="b">
        <f t="shared" si="0"/>
        <v>1</v>
      </c>
      <c r="M31" s="6" t="b">
        <f t="shared" si="1"/>
        <v>1</v>
      </c>
    </row>
    <row r="32" spans="1:14" ht="16.5" customHeight="1">
      <c r="A32" s="31">
        <v>46312</v>
      </c>
      <c r="B32" s="32">
        <v>0.45833333333333331</v>
      </c>
      <c r="C32" s="6" t="s">
        <v>326</v>
      </c>
      <c r="D32" s="6" t="s">
        <v>276</v>
      </c>
      <c r="E32" s="6" t="s">
        <v>362</v>
      </c>
      <c r="F32" s="6" t="s">
        <v>277</v>
      </c>
      <c r="G32" s="6" t="s">
        <v>278</v>
      </c>
      <c r="H32" s="6" t="s">
        <v>392</v>
      </c>
      <c r="I32" s="6">
        <v>2200000</v>
      </c>
      <c r="J32" s="6">
        <v>0</v>
      </c>
      <c r="K32" s="33" t="str">
        <f>VLOOKUP($C32,customer_master!$A$2:$F$21,1,0)</f>
        <v>C260022</v>
      </c>
      <c r="L32" s="6" t="b">
        <f t="shared" si="0"/>
        <v>1</v>
      </c>
      <c r="M32" s="6" t="b">
        <f t="shared" si="1"/>
        <v>1</v>
      </c>
    </row>
    <row r="33" spans="1:14" ht="16.5" customHeight="1">
      <c r="A33" s="31">
        <v>46312</v>
      </c>
      <c r="B33" s="32">
        <v>0.47916666666666669</v>
      </c>
      <c r="C33" s="6" t="s">
        <v>330</v>
      </c>
      <c r="D33" s="6" t="s">
        <v>365</v>
      </c>
      <c r="E33" s="6" t="s">
        <v>244</v>
      </c>
      <c r="F33" s="6" t="s">
        <v>363</v>
      </c>
      <c r="G33" s="6" t="s">
        <v>372</v>
      </c>
      <c r="H33" s="6" t="s">
        <v>373</v>
      </c>
      <c r="I33" s="6">
        <v>0</v>
      </c>
      <c r="J33" s="6">
        <v>0</v>
      </c>
      <c r="K33" s="33" t="str">
        <f>VLOOKUP($C33,customer_master!$A$2:$F$21,1,0)</f>
        <v>C260023</v>
      </c>
      <c r="L33" s="6" t="b">
        <f t="shared" si="0"/>
        <v>1</v>
      </c>
      <c r="M33" s="6" t="b">
        <f t="shared" si="1"/>
        <v>1</v>
      </c>
    </row>
    <row r="34" spans="1:14" ht="16.5" customHeight="1">
      <c r="A34" s="31">
        <v>46312</v>
      </c>
      <c r="B34" s="32">
        <v>0.5</v>
      </c>
      <c r="C34" s="6" t="s">
        <v>334</v>
      </c>
      <c r="D34" s="6" t="s">
        <v>276</v>
      </c>
      <c r="E34" s="6" t="s">
        <v>274</v>
      </c>
      <c r="F34" s="6" t="s">
        <v>368</v>
      </c>
      <c r="G34" s="6" t="s">
        <v>278</v>
      </c>
      <c r="H34" s="6" t="s">
        <v>402</v>
      </c>
      <c r="I34" s="6">
        <v>80000</v>
      </c>
      <c r="J34" s="6">
        <v>0</v>
      </c>
      <c r="K34" s="33" t="str">
        <f>VLOOKUP($C34,customer_master!$A$2:$F$21,1,0)</f>
        <v>C260024</v>
      </c>
      <c r="L34" s="6" t="b">
        <f t="shared" si="0"/>
        <v>1</v>
      </c>
      <c r="M34" s="6" t="b">
        <f t="shared" si="1"/>
        <v>1</v>
      </c>
    </row>
    <row r="35" spans="1:14" ht="16.5" customHeight="1">
      <c r="A35" s="31">
        <v>46312</v>
      </c>
      <c r="B35" s="32">
        <v>0.54166666666666663</v>
      </c>
      <c r="C35" s="6" t="s">
        <v>338</v>
      </c>
      <c r="D35" s="6" t="s">
        <v>365</v>
      </c>
      <c r="E35" s="6" t="s">
        <v>250</v>
      </c>
      <c r="F35" s="6" t="s">
        <v>277</v>
      </c>
      <c r="G35" s="6" t="s">
        <v>366</v>
      </c>
      <c r="H35" s="6" t="s">
        <v>279</v>
      </c>
      <c r="I35" s="6">
        <v>0</v>
      </c>
      <c r="J35" s="6">
        <v>0</v>
      </c>
      <c r="K35" s="33" t="str">
        <f>VLOOKUP($C35,customer_master!$A$2:$F$21,1,0)</f>
        <v>C260025</v>
      </c>
      <c r="L35" s="6" t="b">
        <f t="shared" si="0"/>
        <v>1</v>
      </c>
      <c r="M35" s="6" t="b">
        <f t="shared" si="1"/>
        <v>1</v>
      </c>
    </row>
    <row r="36" spans="1:14" ht="16.5" customHeight="1">
      <c r="A36" s="31">
        <v>46312</v>
      </c>
      <c r="B36" s="32">
        <v>0.5625</v>
      </c>
      <c r="C36" s="6" t="s">
        <v>342</v>
      </c>
      <c r="D36" s="6" t="s">
        <v>276</v>
      </c>
      <c r="E36" s="6" t="s">
        <v>178</v>
      </c>
      <c r="F36" s="6" t="s">
        <v>363</v>
      </c>
      <c r="G36" s="6" t="s">
        <v>278</v>
      </c>
      <c r="H36" s="6" t="s">
        <v>364</v>
      </c>
      <c r="I36" s="6">
        <v>45000</v>
      </c>
      <c r="J36" s="6">
        <v>0</v>
      </c>
      <c r="K36" s="6" t="str">
        <f>VLOOKUP($C36,customer_master!$A$2:$F$21,1,0)</f>
        <v>C260026</v>
      </c>
      <c r="L36" s="6" t="b">
        <f t="shared" si="0"/>
        <v>1</v>
      </c>
      <c r="M36" s="6" t="b">
        <f t="shared" si="1"/>
        <v>1</v>
      </c>
    </row>
    <row r="37" spans="1:14" ht="16.5" customHeight="1">
      <c r="A37" s="31">
        <v>46312</v>
      </c>
      <c r="B37" s="32">
        <v>0.58333333333333337</v>
      </c>
      <c r="C37" s="6" t="s">
        <v>346</v>
      </c>
      <c r="D37" s="6" t="s">
        <v>365</v>
      </c>
      <c r="E37" s="6" t="s">
        <v>362</v>
      </c>
      <c r="F37" s="6" t="s">
        <v>368</v>
      </c>
      <c r="G37" s="6" t="s">
        <v>278</v>
      </c>
      <c r="H37" s="6" t="s">
        <v>385</v>
      </c>
      <c r="I37" s="6">
        <v>220000</v>
      </c>
      <c r="J37" s="6">
        <v>0</v>
      </c>
      <c r="K37" s="6" t="str">
        <f>VLOOKUP($C37,customer_master!$A$2:$F$21,1,0)</f>
        <v>C260027</v>
      </c>
      <c r="L37" s="6" t="b">
        <f t="shared" si="0"/>
        <v>1</v>
      </c>
      <c r="M37" s="6" t="b">
        <f t="shared" si="1"/>
        <v>1</v>
      </c>
    </row>
    <row r="38" spans="1:14" ht="16.5" customHeight="1">
      <c r="A38" s="31">
        <v>46312</v>
      </c>
      <c r="B38" s="32">
        <v>0.61458333333333337</v>
      </c>
      <c r="C38" s="6" t="s">
        <v>350</v>
      </c>
      <c r="D38" s="6" t="s">
        <v>276</v>
      </c>
      <c r="E38" s="6" t="s">
        <v>153</v>
      </c>
      <c r="F38" s="6" t="s">
        <v>277</v>
      </c>
      <c r="G38" s="6" t="s">
        <v>278</v>
      </c>
      <c r="H38" s="6" t="s">
        <v>386</v>
      </c>
      <c r="I38" s="6">
        <v>2500000</v>
      </c>
      <c r="J38" s="6">
        <v>500000</v>
      </c>
      <c r="K38" s="6" t="str">
        <f>VLOOKUP($C38,customer_master!$A$2:$F$21,1,0)</f>
        <v>C260028</v>
      </c>
      <c r="L38" s="6" t="b">
        <f t="shared" si="0"/>
        <v>1</v>
      </c>
      <c r="M38" s="6" t="b">
        <f t="shared" si="1"/>
        <v>1</v>
      </c>
    </row>
    <row r="39" spans="1:14" ht="16.5" customHeight="1">
      <c r="A39" s="31">
        <v>46312</v>
      </c>
      <c r="B39" s="32">
        <v>0.63541666666666663</v>
      </c>
      <c r="C39" s="6" t="s">
        <v>354</v>
      </c>
      <c r="D39" s="6" t="s">
        <v>365</v>
      </c>
      <c r="E39" s="6" t="s">
        <v>274</v>
      </c>
      <c r="F39" s="6" t="s">
        <v>363</v>
      </c>
      <c r="G39" s="6" t="s">
        <v>278</v>
      </c>
      <c r="H39" s="6" t="s">
        <v>387</v>
      </c>
      <c r="I39" s="6">
        <v>450000</v>
      </c>
      <c r="J39" s="6">
        <v>0</v>
      </c>
      <c r="K39" s="6" t="str">
        <f>VLOOKUP($C39,customer_master!$A$2:$F$21,1,0)</f>
        <v>C260029</v>
      </c>
      <c r="L39" s="6" t="b">
        <f t="shared" si="0"/>
        <v>1</v>
      </c>
      <c r="M39" s="6" t="b">
        <f t="shared" si="1"/>
        <v>1</v>
      </c>
    </row>
    <row r="40" spans="1:14" ht="16.5" customHeight="1">
      <c r="A40" s="31">
        <v>46312</v>
      </c>
      <c r="B40" s="32">
        <v>0.66666666666666663</v>
      </c>
      <c r="C40" s="6" t="s">
        <v>275</v>
      </c>
      <c r="D40" s="6" t="s">
        <v>365</v>
      </c>
      <c r="E40" s="6" t="s">
        <v>178</v>
      </c>
      <c r="F40" s="6" t="s">
        <v>277</v>
      </c>
      <c r="G40" s="6" t="s">
        <v>278</v>
      </c>
      <c r="H40" s="6" t="s">
        <v>388</v>
      </c>
      <c r="I40" s="6">
        <v>120000</v>
      </c>
      <c r="J40" s="6">
        <v>0</v>
      </c>
      <c r="K40" s="33" t="str">
        <f>VLOOKUP($C40,customer_master!$A$2:$F$21,1,0)</f>
        <v>C250011</v>
      </c>
      <c r="L40" s="6" t="b">
        <f t="shared" si="0"/>
        <v>1</v>
      </c>
      <c r="M40" s="6" t="b">
        <f t="shared" si="1"/>
        <v>1</v>
      </c>
    </row>
    <row r="41" spans="1:14" ht="16.5" customHeight="1">
      <c r="A41" s="31">
        <v>46312</v>
      </c>
      <c r="B41" s="32">
        <v>0.6875</v>
      </c>
      <c r="C41" s="6" t="s">
        <v>284</v>
      </c>
      <c r="D41" s="6" t="s">
        <v>276</v>
      </c>
      <c r="E41" s="6" t="s">
        <v>362</v>
      </c>
      <c r="F41" s="6" t="s">
        <v>363</v>
      </c>
      <c r="G41" s="6" t="s">
        <v>366</v>
      </c>
      <c r="H41" s="6" t="s">
        <v>375</v>
      </c>
      <c r="I41" s="38">
        <v>0</v>
      </c>
      <c r="J41" s="6">
        <v>0</v>
      </c>
      <c r="K41" s="33" t="str">
        <f>VLOOKUP($C41,customer_master!$A$2:$F$21,1,0)</f>
        <v>C250012</v>
      </c>
      <c r="L41" s="6" t="b">
        <f t="shared" si="0"/>
        <v>1</v>
      </c>
      <c r="M41" s="6" t="b">
        <f t="shared" si="1"/>
        <v>1</v>
      </c>
      <c r="N41" s="6" t="s">
        <v>415</v>
      </c>
    </row>
    <row r="42" spans="1:14" ht="16.5" customHeight="1">
      <c r="A42" s="31">
        <v>46312</v>
      </c>
      <c r="B42" s="32">
        <v>0.70833333333333337</v>
      </c>
      <c r="C42" s="6" t="s">
        <v>289</v>
      </c>
      <c r="D42" s="6" t="s">
        <v>365</v>
      </c>
      <c r="E42" s="6" t="s">
        <v>250</v>
      </c>
      <c r="F42" s="6" t="s">
        <v>368</v>
      </c>
      <c r="G42" s="6" t="s">
        <v>278</v>
      </c>
      <c r="H42" s="6" t="s">
        <v>367</v>
      </c>
      <c r="I42" s="6">
        <v>200000</v>
      </c>
      <c r="J42" s="6">
        <v>0</v>
      </c>
      <c r="K42" s="33" t="str">
        <f>VLOOKUP($C42,customer_master!$A$2:$F$21,1,0)</f>
        <v>C250013</v>
      </c>
      <c r="L42" s="6" t="b">
        <f t="shared" si="0"/>
        <v>1</v>
      </c>
      <c r="M42" s="6" t="b">
        <f t="shared" si="1"/>
        <v>1</v>
      </c>
    </row>
    <row r="43" spans="1:14" ht="16.5" customHeight="1">
      <c r="A43" s="31">
        <v>46312</v>
      </c>
      <c r="B43" s="32">
        <v>0.72222222222222221</v>
      </c>
      <c r="C43" s="6" t="s">
        <v>294</v>
      </c>
      <c r="D43" s="6" t="s">
        <v>276</v>
      </c>
      <c r="E43" s="6" t="s">
        <v>274</v>
      </c>
      <c r="F43" s="6" t="s">
        <v>277</v>
      </c>
      <c r="G43" s="6" t="s">
        <v>278</v>
      </c>
      <c r="H43" s="6" t="s">
        <v>369</v>
      </c>
      <c r="I43" s="6">
        <v>1200000</v>
      </c>
      <c r="J43" s="6">
        <v>0</v>
      </c>
      <c r="K43" s="33" t="str">
        <f>VLOOKUP($C43,customer_master!$A$2:$F$21,1,0)</f>
        <v>C250014</v>
      </c>
      <c r="L43" s="6" t="b">
        <f t="shared" si="0"/>
        <v>1</v>
      </c>
      <c r="M43" s="6" t="b">
        <f t="shared" si="1"/>
        <v>1</v>
      </c>
    </row>
    <row r="44" spans="1:14" ht="16.5" customHeight="1">
      <c r="A44" s="31">
        <v>46312</v>
      </c>
      <c r="B44" s="32">
        <v>0.74305555555555558</v>
      </c>
      <c r="C44" s="6" t="s">
        <v>298</v>
      </c>
      <c r="D44" s="6" t="s">
        <v>365</v>
      </c>
      <c r="E44" s="6" t="s">
        <v>153</v>
      </c>
      <c r="F44" s="6" t="s">
        <v>363</v>
      </c>
      <c r="G44" s="6" t="s">
        <v>278</v>
      </c>
      <c r="H44" s="6" t="s">
        <v>370</v>
      </c>
      <c r="I44" s="6">
        <v>290000</v>
      </c>
      <c r="J44" s="6">
        <v>0</v>
      </c>
      <c r="K44" s="33" t="str">
        <f>VLOOKUP($C44,customer_master!$A$2:$F$21,1,0)</f>
        <v>C250015</v>
      </c>
      <c r="L44" s="6" t="b">
        <f t="shared" si="0"/>
        <v>1</v>
      </c>
      <c r="M44" s="6" t="b">
        <f t="shared" si="1"/>
        <v>1</v>
      </c>
    </row>
    <row r="45" spans="1:14" ht="16.5" customHeight="1">
      <c r="A45" s="31">
        <v>46313</v>
      </c>
      <c r="B45" s="32">
        <v>0.41666666666666669</v>
      </c>
      <c r="C45" s="6" t="s">
        <v>302</v>
      </c>
      <c r="D45" s="6" t="s">
        <v>276</v>
      </c>
      <c r="E45" s="6" t="s">
        <v>244</v>
      </c>
      <c r="F45" s="6" t="s">
        <v>368</v>
      </c>
      <c r="G45" s="6" t="s">
        <v>372</v>
      </c>
      <c r="H45" s="6" t="s">
        <v>376</v>
      </c>
      <c r="I45" s="38">
        <v>0</v>
      </c>
      <c r="J45" s="6">
        <v>0</v>
      </c>
      <c r="K45" s="33" t="str">
        <f>VLOOKUP($C45,customer_master!$A$2:$F$21,1,0)</f>
        <v>C250016</v>
      </c>
      <c r="L45" s="6" t="b">
        <f t="shared" si="0"/>
        <v>1</v>
      </c>
      <c r="M45" s="6" t="b">
        <f t="shared" si="1"/>
        <v>1</v>
      </c>
      <c r="N45" s="6" t="s">
        <v>383</v>
      </c>
    </row>
    <row r="46" spans="1:14" ht="16.5" customHeight="1">
      <c r="A46" s="31">
        <v>46313</v>
      </c>
      <c r="B46" s="32">
        <v>0.4375</v>
      </c>
      <c r="C46" s="6" t="s">
        <v>306</v>
      </c>
      <c r="D46" s="6" t="s">
        <v>365</v>
      </c>
      <c r="E46" s="6" t="s">
        <v>178</v>
      </c>
      <c r="F46" s="6" t="s">
        <v>277</v>
      </c>
      <c r="G46" s="6" t="s">
        <v>278</v>
      </c>
      <c r="H46" s="6" t="s">
        <v>377</v>
      </c>
      <c r="I46" s="6">
        <v>50000</v>
      </c>
      <c r="J46" s="6">
        <v>0</v>
      </c>
      <c r="K46" s="33" t="str">
        <f>VLOOKUP($C46,customer_master!$A$2:$F$21,1,0)</f>
        <v>C250017</v>
      </c>
      <c r="L46" s="6" t="b">
        <f t="shared" si="0"/>
        <v>1</v>
      </c>
      <c r="M46" s="6" t="b">
        <f t="shared" si="1"/>
        <v>1</v>
      </c>
    </row>
    <row r="47" spans="1:14" ht="16.5" customHeight="1">
      <c r="A47" s="31">
        <v>46313</v>
      </c>
      <c r="B47" s="32">
        <v>0.46527777777777779</v>
      </c>
      <c r="C47" s="6" t="s">
        <v>310</v>
      </c>
      <c r="D47" s="6" t="s">
        <v>276</v>
      </c>
      <c r="E47" s="6" t="s">
        <v>362</v>
      </c>
      <c r="F47" s="6" t="s">
        <v>363</v>
      </c>
      <c r="G47" s="6" t="s">
        <v>278</v>
      </c>
      <c r="H47" s="6" t="s">
        <v>364</v>
      </c>
      <c r="I47" s="6">
        <v>45000</v>
      </c>
      <c r="J47" s="6">
        <v>0</v>
      </c>
      <c r="K47" s="33" t="str">
        <f>VLOOKUP($C47,customer_master!$A$2:$F$21,1,0)</f>
        <v>C250018</v>
      </c>
      <c r="L47" s="6" t="b">
        <f t="shared" si="0"/>
        <v>1</v>
      </c>
      <c r="M47" s="6" t="b">
        <f t="shared" si="1"/>
        <v>1</v>
      </c>
    </row>
    <row r="48" spans="1:14" ht="16.5" customHeight="1">
      <c r="A48" s="31">
        <v>46313</v>
      </c>
      <c r="B48" s="32">
        <v>0.5</v>
      </c>
      <c r="C48" s="6" t="s">
        <v>318</v>
      </c>
      <c r="D48" s="6" t="s">
        <v>276</v>
      </c>
      <c r="E48" s="6" t="s">
        <v>153</v>
      </c>
      <c r="F48" s="6" t="s">
        <v>277</v>
      </c>
      <c r="G48" s="6" t="s">
        <v>366</v>
      </c>
      <c r="H48" s="6" t="s">
        <v>386</v>
      </c>
      <c r="I48" s="6">
        <v>0</v>
      </c>
      <c r="J48" s="38">
        <v>0</v>
      </c>
      <c r="K48" s="33" t="str">
        <f>VLOOKUP($C48,customer_master!$A$2:$F$21,1,0)</f>
        <v>C250020</v>
      </c>
      <c r="L48" s="6" t="b">
        <f t="shared" si="0"/>
        <v>1</v>
      </c>
      <c r="M48" s="6" t="b">
        <f t="shared" si="1"/>
        <v>1</v>
      </c>
      <c r="N48" s="6" t="s">
        <v>395</v>
      </c>
    </row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A1:N48" xr:uid="{00000000-0009-0000-0000-000008000000}"/>
  <phoneticPr fontId="29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프로젝트개요</vt:lpstr>
      <vt:lpstr>일일매출지표</vt:lpstr>
      <vt:lpstr>신환구환_심화분석</vt:lpstr>
      <vt:lpstr>ERD_및_SQL쿼리</vt:lpstr>
      <vt:lpstr>Data_QA_Validation규칙</vt:lpstr>
      <vt:lpstr>GitHub_README_포트폴리오</vt:lpstr>
      <vt:lpstr>crm_transaction_log</vt:lpstr>
      <vt:lpstr>customer_master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박재정</dc:creator>
  <cp:lastModifiedBy>재정 박</cp:lastModifiedBy>
  <dcterms:created xsi:type="dcterms:W3CDTF">2026-10-26T06:26:39Z</dcterms:created>
  <dcterms:modified xsi:type="dcterms:W3CDTF">2026-10-26T06:26:39Z</dcterms:modified>
</cp:coreProperties>
</file>