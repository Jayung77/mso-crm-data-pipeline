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c1\Desktop\"/>
    </mc:Choice>
  </mc:AlternateContent>
  <xr:revisionPtr revIDLastSave="0" documentId="13_ncr:1_{C39CE523-55B1-4B99-BA32-F1F4A04A25A0}" xr6:coauthVersionLast="47" xr6:coauthVersionMax="47" xr10:uidLastSave="{00000000-0000-0000-0000-000000000000}"/>
  <bookViews>
    <workbookView xWindow="-110" yWindow="-110" windowWidth="25820" windowHeight="15500" activeTab="3" xr2:uid="{1B151E04-D234-4B96-A30D-9142F7FF24BF}"/>
  </bookViews>
  <sheets>
    <sheet name="crm_transaction_log" sheetId="1" r:id="rId1"/>
    <sheet name="customer_master" sheetId="2" r:id="rId2"/>
    <sheet name="RAW_DATA" sheetId="3" r:id="rId3"/>
    <sheet name="일일매출지표" sheetId="4" r:id="rId4"/>
  </sheets>
  <definedNames>
    <definedName name="_xlnm._FilterDatabase" localSheetId="0" hidden="1">crm_transaction_log!$A$1:$N$48</definedName>
    <definedName name="_xlnm._FilterDatabase" localSheetId="1" hidden="1">customer_master!$A$1:$J$16</definedName>
    <definedName name="_xlnm._FilterDatabase" localSheetId="2" hidden="1">RAW_DATA!$A$1:$N$48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4" l="1"/>
  <c r="L13" i="4"/>
  <c r="L12" i="4"/>
  <c r="L11" i="4"/>
  <c r="K14" i="4"/>
  <c r="K13" i="4"/>
  <c r="K12" i="4"/>
  <c r="K11" i="4"/>
  <c r="J14" i="4"/>
  <c r="J13" i="4"/>
  <c r="J12" i="4"/>
  <c r="J11" i="4"/>
  <c r="J15" i="4" s="1"/>
  <c r="G16" i="4"/>
  <c r="G15" i="4"/>
  <c r="G14" i="4"/>
  <c r="G13" i="4"/>
  <c r="G12" i="4"/>
  <c r="G11" i="4"/>
  <c r="C16" i="4"/>
  <c r="C15" i="4"/>
  <c r="C14" i="4"/>
  <c r="C13" i="4"/>
  <c r="C12" i="4"/>
  <c r="C11" i="4"/>
  <c r="D16" i="4"/>
  <c r="D15" i="4"/>
  <c r="D14" i="4"/>
  <c r="D13" i="4"/>
  <c r="D12" i="4"/>
  <c r="D11" i="4"/>
  <c r="E16" i="4"/>
  <c r="E15" i="4"/>
  <c r="E14" i="4"/>
  <c r="E13" i="4"/>
  <c r="E12" i="4"/>
  <c r="E11" i="4"/>
  <c r="F16" i="4"/>
  <c r="F15" i="4"/>
  <c r="F14" i="4"/>
  <c r="F13" i="4"/>
  <c r="F12" i="4"/>
  <c r="F11" i="4"/>
  <c r="I5" i="4"/>
  <c r="G5" i="4"/>
  <c r="D5" i="4"/>
  <c r="B5" i="4"/>
  <c r="M48" i="3"/>
  <c r="L48" i="3"/>
  <c r="K48" i="3"/>
  <c r="M47" i="3"/>
  <c r="L47" i="3"/>
  <c r="K47" i="3"/>
  <c r="M46" i="3"/>
  <c r="L46" i="3"/>
  <c r="K46" i="3"/>
  <c r="M45" i="3"/>
  <c r="L45" i="3"/>
  <c r="K45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L3" i="3"/>
  <c r="K3" i="3"/>
  <c r="M2" i="3"/>
  <c r="L2" i="3"/>
  <c r="K2" i="3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M2" i="1"/>
  <c r="L2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15" i="4" l="1"/>
  <c r="L15" i="4"/>
  <c r="G17" i="4"/>
  <c r="F17" i="4"/>
  <c r="F18" i="4" s="1"/>
  <c r="C17" i="4"/>
  <c r="D17" i="4"/>
  <c r="E17" i="4"/>
  <c r="C18" i="4" l="1"/>
</calcChain>
</file>

<file path=xl/sharedStrings.xml><?xml version="1.0" encoding="utf-8"?>
<sst xmlns="http://schemas.openxmlformats.org/spreadsheetml/2006/main" count="734" uniqueCount="162">
  <si>
    <t>Reservation_Date</t>
  </si>
  <si>
    <t>Reservation_Time</t>
  </si>
  <si>
    <t>Chart_No</t>
  </si>
  <si>
    <t>Customer_ID</t>
  </si>
  <si>
    <t>Customer_Name</t>
  </si>
  <si>
    <t>Is_First_Visit</t>
  </si>
  <si>
    <t>Inflow_Channel</t>
  </si>
  <si>
    <t>Consultant_ID</t>
  </si>
  <si>
    <t>Reservation_Status</t>
  </si>
  <si>
    <t>Treatment_Item</t>
  </si>
  <si>
    <t>Payment_Amount</t>
  </si>
  <si>
    <t>Unpaid_Amount</t>
  </si>
  <si>
    <t>김*수</t>
  </si>
  <si>
    <t>Y</t>
  </si>
  <si>
    <t>네이버검색</t>
  </si>
  <si>
    <t>CS_01</t>
  </si>
  <si>
    <t>진료완료</t>
  </si>
  <si>
    <t>이*영</t>
  </si>
  <si>
    <t>N</t>
  </si>
  <si>
    <t>지인추천</t>
  </si>
  <si>
    <t>CS_02</t>
  </si>
  <si>
    <t>박*진</t>
  </si>
  <si>
    <t>인스타그램</t>
  </si>
  <si>
    <t>노쇼</t>
  </si>
  <si>
    <t>최*훈</t>
  </si>
  <si>
    <t>재방문</t>
  </si>
  <si>
    <t>CS_03</t>
  </si>
  <si>
    <t>정*아</t>
  </si>
  <si>
    <t>카카오톡</t>
  </si>
  <si>
    <t>강*석</t>
  </si>
  <si>
    <t>조*희</t>
  </si>
  <si>
    <t>예약취소</t>
  </si>
  <si>
    <t>윤*미</t>
  </si>
  <si>
    <t>장*민</t>
  </si>
  <si>
    <t>임*주</t>
  </si>
  <si>
    <t>U1011</t>
  </si>
  <si>
    <t>한*수</t>
  </si>
  <si>
    <t>U1012</t>
  </si>
  <si>
    <t>오*연</t>
  </si>
  <si>
    <t>U1013</t>
  </si>
  <si>
    <t>서*우</t>
  </si>
  <si>
    <t>U1014</t>
  </si>
  <si>
    <t>신*혜</t>
  </si>
  <si>
    <t>U1015</t>
  </si>
  <si>
    <t>권*현</t>
  </si>
  <si>
    <t>U1016</t>
  </si>
  <si>
    <t>황*영</t>
  </si>
  <si>
    <t>U1017</t>
  </si>
  <si>
    <t>안*진</t>
  </si>
  <si>
    <t>U1018</t>
  </si>
  <si>
    <t>송*민</t>
  </si>
  <si>
    <t>U1019</t>
  </si>
  <si>
    <t>전*아</t>
  </si>
  <si>
    <t>U1020</t>
  </si>
  <si>
    <t>고*석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</si>
  <si>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</si>
  <si>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</si>
  <si>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</si>
  <si>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</si>
  <si>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</si>
  <si>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</si>
  <si>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</si>
  <si>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</si>
  <si>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</si>
  <si>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</si>
  <si>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C250011</t>
  </si>
  <si>
    <t>피코토닝 10회</t>
  </si>
  <si>
    <t>C250012</t>
  </si>
  <si>
    <t>사각턱보톡스</t>
  </si>
  <si>
    <t>C250013</t>
  </si>
  <si>
    <t>입술필러</t>
  </si>
  <si>
    <t>C250014</t>
  </si>
  <si>
    <t>울쎄라 300샷</t>
  </si>
  <si>
    <t>C250015</t>
  </si>
  <si>
    <t>리쥬란힐러 2cc</t>
  </si>
  <si>
    <t>C250016</t>
  </si>
  <si>
    <t>겨드랑이제모 5회</t>
  </si>
  <si>
    <t>C250017</t>
  </si>
  <si>
    <t>당근마켓</t>
  </si>
  <si>
    <t>슈링크 400샷</t>
  </si>
  <si>
    <t>C250018</t>
  </si>
  <si>
    <t>미간보톡스</t>
  </si>
  <si>
    <t>코필러</t>
  </si>
  <si>
    <t>C250020</t>
  </si>
  <si>
    <t>인모드 FORMA</t>
  </si>
  <si>
    <t>C260021</t>
  </si>
  <si>
    <t>아쿠아필</t>
  </si>
  <si>
    <t>C260022</t>
  </si>
  <si>
    <t>C260023</t>
  </si>
  <si>
    <t>C260024</t>
  </si>
  <si>
    <t>여드름스케일링</t>
  </si>
  <si>
    <t>C260025</t>
  </si>
  <si>
    <t>팔자필러</t>
  </si>
  <si>
    <t>C260026</t>
  </si>
  <si>
    <t>써마지 600샷</t>
  </si>
  <si>
    <t>C260027</t>
  </si>
  <si>
    <t>쥬베룩 볼륨</t>
  </si>
  <si>
    <t>C260028</t>
  </si>
  <si>
    <t>피코프락셀</t>
  </si>
  <si>
    <t>C260029</t>
  </si>
  <si>
    <t>종아리보톡스</t>
  </si>
  <si>
    <t>C260030</t>
  </si>
  <si>
    <t>애교필러</t>
  </si>
  <si>
    <t>인중제모</t>
  </si>
  <si>
    <t>인모드 FX</t>
  </si>
  <si>
    <t>C250019</t>
  </si>
  <si>
    <t>울쎄라 600샷</t>
  </si>
  <si>
    <t>종아리제모</t>
  </si>
  <si>
    <t>금액삭제(예약취소)</t>
    <phoneticPr fontId="1" type="noConversion"/>
  </si>
  <si>
    <t>금액삭제(노쇼)</t>
    <phoneticPr fontId="1" type="noConversion"/>
  </si>
  <si>
    <t>잔금 수정</t>
    <phoneticPr fontId="1" type="noConversion"/>
  </si>
  <si>
    <t>Phone_Number</t>
  </si>
  <si>
    <t>Customer_Grade</t>
  </si>
  <si>
    <t>Join_Date</t>
  </si>
  <si>
    <t>010-1234-5678</t>
  </si>
  <si>
    <t>VIP</t>
  </si>
  <si>
    <t>010-2345-6789</t>
  </si>
  <si>
    <t>일반</t>
  </si>
  <si>
    <t>010-3456-7890</t>
  </si>
  <si>
    <t>우수</t>
  </si>
  <si>
    <t>010-4567-8901</t>
  </si>
  <si>
    <t>010-5678-9012</t>
  </si>
  <si>
    <t>010-6789-0123</t>
  </si>
  <si>
    <t>010-7890-1234</t>
  </si>
  <si>
    <t>010-8901-2345</t>
  </si>
  <si>
    <t>010-9012-3456</t>
  </si>
  <si>
    <t>010-0123-4567</t>
  </si>
  <si>
    <t>010-1111-2222</t>
  </si>
  <si>
    <t>010-2222-3333</t>
  </si>
  <si>
    <t>010-3333-4444</t>
  </si>
  <si>
    <t>010-4444-5555</t>
  </si>
  <si>
    <t>010-5555-6666</t>
  </si>
  <si>
    <t>010-6666-7777</t>
  </si>
  <si>
    <t>010-7777-8888</t>
  </si>
  <si>
    <t>010-8888-9999</t>
  </si>
  <si>
    <t>010-9999-0000</t>
  </si>
  <si>
    <t>010-0000-1111</t>
  </si>
  <si>
    <t>잔금삭제</t>
    <phoneticPr fontId="1" type="noConversion"/>
  </si>
  <si>
    <t>검증</t>
    <phoneticPr fontId="1" type="noConversion"/>
  </si>
  <si>
    <t>📅 일일 핵심 KPI 대시보드 (2026-10-15 ~ 10-18)</t>
  </si>
  <si>
    <t>총 수납금액 (원)</t>
  </si>
  <si>
    <t>총 미수 잔금 (원)</t>
  </si>
  <si>
    <t>신규 환자(신환) 유입 수</t>
  </si>
  <si>
    <t>총 진료 완료 건수</t>
  </si>
  <si>
    <t>📌 유입경로별 매출 및 잔금 현황</t>
  </si>
  <si>
    <t>📌 날짜별 마감 실적</t>
  </si>
  <si>
    <t>유입 경로</t>
  </si>
  <si>
    <t>예약 건수</t>
  </si>
  <si>
    <t>노쇼 건수</t>
  </si>
  <si>
    <t>실제 수납금액(원)</t>
  </si>
  <si>
    <t>미수 잔금(원)</t>
  </si>
  <si>
    <t>예약일자</t>
  </si>
  <si>
    <t>당일 예약 건수</t>
  </si>
  <si>
    <t>당일 수납금액(원)</t>
  </si>
  <si>
    <t>당일 잔금(원)</t>
  </si>
  <si>
    <t>2026-10-15</t>
  </si>
  <si>
    <t>2026-10-16</t>
  </si>
  <si>
    <t>2026-10-17</t>
  </si>
  <si>
    <t>2026-10-18</t>
  </si>
  <si>
    <t>합계</t>
  </si>
  <si>
    <t>예약취소 건수</t>
    <phoneticPr fontId="1" type="noConversion"/>
  </si>
  <si>
    <t>총건수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</si>
</sst>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b/>
      <sz val="14"/>
      <color rgb="FF2C3E5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333333"/>
        <bgColor rgb="FF333333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/>
      <diagonal/>
    </border>
    <border>
      <left style="thin">
        <color rgb="FFCCCCCC"/>
      </left>
      <right style="thin">
        <color rgb="FFCCCCCC"/>
      </right>
      <top style="medium">
        <color indexed="64"/>
      </top>
      <bottom/>
      <diagonal/>
    </border>
    <border>
      <left style="thin">
        <color rgb="FFCCCCCC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9">
    <xf numFmtId="0" fontId="0" fillId="0" borderId="0" xfId="0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1"/>
    <xf numFmtId="0" fontId="6" fillId="0" borderId="0" xfId="1" applyFont="1"/>
    <xf numFmtId="0" fontId="4" fillId="3" borderId="1" xfId="1" applyFont="1" applyFill="1" applyBorder="1" applyAlignment="1">
      <alignment horizontal="center" vertical="center"/>
    </xf>
    <xf numFmtId="0" fontId="2" fillId="0" borderId="0" xfId="1"/>
    <xf numFmtId="3" fontId="5" fillId="0" borderId="1" xfId="1" applyNumberFormat="1" applyFont="1" applyBorder="1" applyAlignment="1">
      <alignment horizontal="center" vertical="center"/>
    </xf>
    <xf numFmtId="0" fontId="3" fillId="0" borderId="0" xfId="1" applyFont="1"/>
    <xf numFmtId="0" fontId="5" fillId="0" borderId="1" xfId="1" applyFont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3" fontId="5" fillId="0" borderId="0" xfId="1" applyNumberFormat="1" applyFont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2" fillId="0" borderId="5" xfId="1" applyBorder="1"/>
    <xf numFmtId="0" fontId="2" fillId="0" borderId="6" xfId="1" applyBorder="1"/>
    <xf numFmtId="3" fontId="2" fillId="0" borderId="6" xfId="1" applyNumberFormat="1" applyBorder="1"/>
    <xf numFmtId="3" fontId="2" fillId="0" borderId="7" xfId="1" applyNumberFormat="1" applyBorder="1"/>
    <xf numFmtId="0" fontId="2" fillId="0" borderId="8" xfId="1" applyBorder="1"/>
    <xf numFmtId="0" fontId="2" fillId="0" borderId="9" xfId="1" applyBorder="1"/>
    <xf numFmtId="3" fontId="2" fillId="0" borderId="9" xfId="1" applyNumberFormat="1" applyBorder="1"/>
    <xf numFmtId="3" fontId="2" fillId="0" borderId="10" xfId="1" applyNumberFormat="1" applyBorder="1"/>
    <xf numFmtId="0" fontId="4" fillId="0" borderId="8" xfId="1" applyFont="1" applyBorder="1"/>
    <xf numFmtId="0" fontId="4" fillId="0" borderId="9" xfId="1" applyFont="1" applyBorder="1"/>
    <xf numFmtId="3" fontId="8" fillId="0" borderId="9" xfId="1" applyNumberFormat="1" applyFont="1" applyBorder="1"/>
    <xf numFmtId="3" fontId="4" fillId="0" borderId="10" xfId="1" applyNumberFormat="1" applyFont="1" applyBorder="1"/>
    <xf numFmtId="0" fontId="4" fillId="0" borderId="11" xfId="1" applyFont="1" applyBorder="1"/>
    <xf numFmtId="0" fontId="8" fillId="0" borderId="12" xfId="0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" fillId="0" borderId="7" xfId="1" applyBorder="1"/>
    <xf numFmtId="0" fontId="2" fillId="0" borderId="10" xfId="1" applyBorder="1"/>
    <xf numFmtId="0" fontId="4" fillId="0" borderId="12" xfId="1" applyFont="1" applyBorder="1"/>
    <xf numFmtId="3" fontId="4" fillId="0" borderId="12" xfId="1" applyNumberFormat="1" applyFont="1" applyBorder="1"/>
    <xf numFmtId="3" fontId="4" fillId="0" borderId="13" xfId="1" applyNumberFormat="1" applyFont="1" applyBorder="1"/>
  </cellXfs>
  <cellStyles count="2">
    <cellStyle name="표준" xfId="0" builtinId="0"/>
    <cellStyle name="표준 2" xfId="1" xr:uid="{7813D0EE-CDAE-4A6C-A802-795F4BB198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E5F6-42FA-4B01-B009-AD16B1BC61AC}">
  <dimension ref="A1:N48"/>
  <sheetViews>
    <sheetView topLeftCell="A18" workbookViewId="0">
      <selection activeCell="F25" sqref="F25"/>
    </sheetView>
  </sheetViews>
  <sheetFormatPr defaultRowHeight="17" x14ac:dyDescent="0.45"/>
  <cols>
    <col min="1" max="1" width="15.9140625" bestFit="1" customWidth="1"/>
    <col min="9" max="9" width="9.4140625" customWidth="1"/>
    <col min="10" max="10" width="8.664062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138</v>
      </c>
      <c r="L1" s="1"/>
      <c r="M1" s="1"/>
    </row>
    <row r="2" spans="1:14" x14ac:dyDescent="0.45">
      <c r="A2" s="2">
        <v>46310</v>
      </c>
      <c r="B2" s="3">
        <v>0.42708333333333331</v>
      </c>
      <c r="C2" s="1" t="s">
        <v>65</v>
      </c>
      <c r="D2" s="1" t="s">
        <v>18</v>
      </c>
      <c r="E2" s="1" t="s">
        <v>28</v>
      </c>
      <c r="F2" s="1" t="s">
        <v>15</v>
      </c>
      <c r="G2" s="1" t="s">
        <v>16</v>
      </c>
      <c r="H2" s="1" t="s">
        <v>66</v>
      </c>
      <c r="I2" s="1">
        <v>850000</v>
      </c>
      <c r="J2" s="1">
        <v>0</v>
      </c>
      <c r="K2" s="1" t="str">
        <f>VLOOKUP($C2,customer_master!$A$2:$F$21,1,0)</f>
        <v>C250011</v>
      </c>
      <c r="L2" s="1" t="b">
        <f>IF(OR(G2="예약취소", G2="노쇼"), I2=0, TRUE)</f>
        <v>1</v>
      </c>
      <c r="M2" s="1" t="b">
        <f>IF(OR(G2="예약취소", G2="노쇼"), IF(AND(I2=0, J2=0), TRUE, FALSE), TRUE)</f>
        <v>1</v>
      </c>
    </row>
    <row r="3" spans="1:14" x14ac:dyDescent="0.45">
      <c r="A3" s="2">
        <v>46310</v>
      </c>
      <c r="B3" s="3">
        <v>0.44444444444444442</v>
      </c>
      <c r="C3" s="1" t="s">
        <v>67</v>
      </c>
      <c r="D3" s="1" t="s">
        <v>18</v>
      </c>
      <c r="E3" s="1" t="s">
        <v>25</v>
      </c>
      <c r="F3" s="1" t="s">
        <v>20</v>
      </c>
      <c r="G3" s="1" t="s">
        <v>16</v>
      </c>
      <c r="H3" s="1" t="s">
        <v>68</v>
      </c>
      <c r="I3" s="1">
        <v>45000</v>
      </c>
      <c r="J3" s="1">
        <v>0</v>
      </c>
      <c r="K3" s="1" t="str">
        <f>VLOOKUP($C3,customer_master!$A$2:$F$21,1,0)</f>
        <v>C250012</v>
      </c>
      <c r="L3" s="1" t="b">
        <f t="shared" ref="L3:L48" si="0">IF(OR(G3="예약취소", G3="노쇼"), I3=0, TRUE)</f>
        <v>1</v>
      </c>
      <c r="M3" s="1" t="b">
        <f t="shared" ref="M3:M48" si="1">IF(OR(G3="예약취소", G3="노쇼"), IF(AND(I3=0, J3=0), TRUE, FALSE), TRUE)</f>
        <v>1</v>
      </c>
    </row>
    <row r="4" spans="1:14" x14ac:dyDescent="0.45">
      <c r="A4" s="2">
        <v>46310</v>
      </c>
      <c r="B4" s="3">
        <v>0.45833333333333331</v>
      </c>
      <c r="C4" s="1" t="s">
        <v>69</v>
      </c>
      <c r="D4" s="1" t="s">
        <v>13</v>
      </c>
      <c r="E4" s="1" t="s">
        <v>19</v>
      </c>
      <c r="F4" s="1" t="s">
        <v>15</v>
      </c>
      <c r="G4" s="1" t="s">
        <v>23</v>
      </c>
      <c r="H4" s="1" t="s">
        <v>70</v>
      </c>
      <c r="I4" s="1">
        <v>0</v>
      </c>
      <c r="J4" s="1">
        <v>0</v>
      </c>
      <c r="K4" s="1" t="str">
        <f>VLOOKUP($C4,customer_master!$A$2:$F$21,1,0)</f>
        <v>C250013</v>
      </c>
      <c r="L4" s="1" t="b">
        <f t="shared" si="0"/>
        <v>1</v>
      </c>
      <c r="M4" s="1" t="b">
        <f t="shared" si="1"/>
        <v>1</v>
      </c>
    </row>
    <row r="5" spans="1:14" x14ac:dyDescent="0.45">
      <c r="A5" s="2">
        <v>46310</v>
      </c>
      <c r="B5" s="3">
        <v>0.47222222222222221</v>
      </c>
      <c r="C5" s="1" t="s">
        <v>71</v>
      </c>
      <c r="D5" s="1" t="s">
        <v>18</v>
      </c>
      <c r="E5" s="1" t="s">
        <v>22</v>
      </c>
      <c r="F5" s="1" t="s">
        <v>26</v>
      </c>
      <c r="G5" s="1" t="s">
        <v>16</v>
      </c>
      <c r="H5" s="1" t="s">
        <v>72</v>
      </c>
      <c r="I5" s="1">
        <v>1200000</v>
      </c>
      <c r="J5" s="1">
        <v>300000</v>
      </c>
      <c r="K5" s="1" t="str">
        <f>VLOOKUP($C5,customer_master!$A$2:$F$21,1,0)</f>
        <v>C250014</v>
      </c>
      <c r="L5" s="1" t="b">
        <f t="shared" si="0"/>
        <v>1</v>
      </c>
      <c r="M5" s="1" t="b">
        <f t="shared" si="1"/>
        <v>1</v>
      </c>
    </row>
    <row r="6" spans="1:14" x14ac:dyDescent="0.45">
      <c r="A6" s="2">
        <v>46310</v>
      </c>
      <c r="B6" s="3">
        <v>0.5</v>
      </c>
      <c r="C6" s="1" t="s">
        <v>73</v>
      </c>
      <c r="D6" s="1" t="s">
        <v>13</v>
      </c>
      <c r="E6" s="1" t="s">
        <v>14</v>
      </c>
      <c r="F6" s="1" t="s">
        <v>20</v>
      </c>
      <c r="G6" s="1" t="s">
        <v>16</v>
      </c>
      <c r="H6" s="1" t="s">
        <v>74</v>
      </c>
      <c r="I6" s="1">
        <v>290000</v>
      </c>
      <c r="J6" s="1">
        <v>0</v>
      </c>
      <c r="K6" s="1" t="str">
        <f>VLOOKUP($C6,customer_master!$A$2:$F$21,1,0)</f>
        <v>C250015</v>
      </c>
      <c r="L6" s="1" t="b">
        <f t="shared" si="0"/>
        <v>1</v>
      </c>
      <c r="M6" s="1" t="b">
        <f t="shared" si="1"/>
        <v>1</v>
      </c>
    </row>
    <row r="7" spans="1:14" x14ac:dyDescent="0.45">
      <c r="A7" s="2">
        <v>46310</v>
      </c>
      <c r="B7" s="3">
        <v>0.52083333333333337</v>
      </c>
      <c r="C7" s="1" t="s">
        <v>75</v>
      </c>
      <c r="D7" s="1" t="s">
        <v>18</v>
      </c>
      <c r="E7" s="1" t="s">
        <v>25</v>
      </c>
      <c r="F7" s="1" t="s">
        <v>15</v>
      </c>
      <c r="G7" s="1" t="s">
        <v>16</v>
      </c>
      <c r="H7" s="1" t="s">
        <v>76</v>
      </c>
      <c r="I7" s="1">
        <v>39000</v>
      </c>
      <c r="J7" s="1">
        <v>0</v>
      </c>
      <c r="K7" s="1" t="str">
        <f>VLOOKUP($C7,customer_master!$A$2:$F$21,1,0)</f>
        <v>C250016</v>
      </c>
      <c r="L7" s="1" t="b">
        <f t="shared" si="0"/>
        <v>1</v>
      </c>
      <c r="M7" s="1" t="b">
        <f t="shared" si="1"/>
        <v>1</v>
      </c>
    </row>
    <row r="8" spans="1:14" x14ac:dyDescent="0.45">
      <c r="A8" s="2">
        <v>46310</v>
      </c>
      <c r="B8" s="3">
        <v>0.58333333333333337</v>
      </c>
      <c r="C8" s="1" t="s">
        <v>77</v>
      </c>
      <c r="D8" s="1" t="s">
        <v>13</v>
      </c>
      <c r="E8" s="1" t="s">
        <v>78</v>
      </c>
      <c r="F8" s="1" t="s">
        <v>26</v>
      </c>
      <c r="G8" s="1" t="s">
        <v>31</v>
      </c>
      <c r="H8" s="1" t="s">
        <v>79</v>
      </c>
      <c r="I8" s="1">
        <v>0</v>
      </c>
      <c r="J8" s="1">
        <v>0</v>
      </c>
      <c r="K8" s="1" t="str">
        <f>VLOOKUP($C8,customer_master!$A$2:$F$21,1,0)</f>
        <v>C250017</v>
      </c>
      <c r="L8" s="1" t="b">
        <f t="shared" si="0"/>
        <v>1</v>
      </c>
      <c r="M8" s="1" t="b">
        <f t="shared" si="1"/>
        <v>1</v>
      </c>
    </row>
    <row r="9" spans="1:14" x14ac:dyDescent="0.45">
      <c r="A9" s="2">
        <v>46310</v>
      </c>
      <c r="B9" s="3">
        <v>0.59722222222222221</v>
      </c>
      <c r="C9" s="1" t="s">
        <v>80</v>
      </c>
      <c r="D9" s="1" t="s">
        <v>18</v>
      </c>
      <c r="E9" s="1" t="s">
        <v>28</v>
      </c>
      <c r="F9" s="1" t="s">
        <v>20</v>
      </c>
      <c r="G9" s="1" t="s">
        <v>16</v>
      </c>
      <c r="H9" s="1" t="s">
        <v>81</v>
      </c>
      <c r="I9" s="1">
        <v>35000</v>
      </c>
      <c r="J9" s="1">
        <v>0</v>
      </c>
      <c r="K9" s="1" t="str">
        <f>VLOOKUP($C9,customer_master!$A$2:$F$21,1,0)</f>
        <v>C250018</v>
      </c>
      <c r="L9" s="1" t="b">
        <f t="shared" si="0"/>
        <v>1</v>
      </c>
      <c r="M9" s="1" t="b">
        <f t="shared" si="1"/>
        <v>1</v>
      </c>
    </row>
    <row r="10" spans="1:14" x14ac:dyDescent="0.45">
      <c r="A10" s="2">
        <v>46310</v>
      </c>
      <c r="B10" s="3">
        <v>0.63541666666666663</v>
      </c>
      <c r="C10" s="1" t="s">
        <v>83</v>
      </c>
      <c r="D10" s="1" t="s">
        <v>18</v>
      </c>
      <c r="E10" s="1" t="s">
        <v>19</v>
      </c>
      <c r="F10" s="1" t="s">
        <v>26</v>
      </c>
      <c r="G10" s="1" t="s">
        <v>16</v>
      </c>
      <c r="H10" s="1" t="s">
        <v>84</v>
      </c>
      <c r="I10" s="1">
        <v>150000</v>
      </c>
      <c r="J10" s="1">
        <v>0</v>
      </c>
      <c r="K10" s="1" t="str">
        <f>VLOOKUP($C10,customer_master!$A$2:$F$21,1,0)</f>
        <v>C250020</v>
      </c>
      <c r="L10" s="1" t="b">
        <f t="shared" si="0"/>
        <v>1</v>
      </c>
      <c r="M10" s="1" t="b">
        <f t="shared" si="1"/>
        <v>1</v>
      </c>
    </row>
    <row r="11" spans="1:14" x14ac:dyDescent="0.45">
      <c r="A11" s="2">
        <v>46310</v>
      </c>
      <c r="B11" s="3">
        <v>0.65277777777777779</v>
      </c>
      <c r="C11" s="1" t="s">
        <v>85</v>
      </c>
      <c r="D11" s="1" t="s">
        <v>13</v>
      </c>
      <c r="E11" s="1" t="s">
        <v>14</v>
      </c>
      <c r="F11" s="1" t="s">
        <v>15</v>
      </c>
      <c r="G11" s="1" t="s">
        <v>23</v>
      </c>
      <c r="H11" s="1" t="s">
        <v>86</v>
      </c>
      <c r="I11" s="1">
        <v>0</v>
      </c>
      <c r="J11" s="1">
        <v>0</v>
      </c>
      <c r="K11" s="1" t="str">
        <f>VLOOKUP($C11,customer_master!$A$2:$F$21,1,0)</f>
        <v>C260021</v>
      </c>
      <c r="L11" s="1" t="b">
        <f t="shared" si="0"/>
        <v>1</v>
      </c>
      <c r="M11" s="1" t="b">
        <f t="shared" si="1"/>
        <v>1</v>
      </c>
    </row>
    <row r="12" spans="1:14" x14ac:dyDescent="0.45">
      <c r="A12" s="2">
        <v>46310</v>
      </c>
      <c r="B12" s="3">
        <v>0.66666666666666663</v>
      </c>
      <c r="C12" s="1" t="s">
        <v>87</v>
      </c>
      <c r="D12" s="1" t="s">
        <v>18</v>
      </c>
      <c r="E12" s="1" t="s">
        <v>25</v>
      </c>
      <c r="F12" s="1" t="s">
        <v>20</v>
      </c>
      <c r="G12" s="1" t="s">
        <v>31</v>
      </c>
      <c r="H12" s="1" t="s">
        <v>66</v>
      </c>
      <c r="I12" s="4">
        <v>0</v>
      </c>
      <c r="J12" s="1">
        <v>0</v>
      </c>
      <c r="K12" s="1" t="str">
        <f>VLOOKUP($C12,customer_master!$A$2:$F$21,1,0)</f>
        <v>C260022</v>
      </c>
      <c r="L12" s="1" t="b">
        <f t="shared" si="0"/>
        <v>1</v>
      </c>
      <c r="M12" s="1" t="b">
        <f t="shared" si="1"/>
        <v>1</v>
      </c>
      <c r="N12" t="s">
        <v>108</v>
      </c>
    </row>
    <row r="13" spans="1:14" x14ac:dyDescent="0.45">
      <c r="A13" s="2">
        <v>46310</v>
      </c>
      <c r="B13" s="3">
        <v>0.68055555555555558</v>
      </c>
      <c r="C13" s="1" t="s">
        <v>88</v>
      </c>
      <c r="D13" s="1" t="s">
        <v>13</v>
      </c>
      <c r="E13" s="1" t="s">
        <v>28</v>
      </c>
      <c r="F13" s="1" t="s">
        <v>26</v>
      </c>
      <c r="G13" s="1" t="s">
        <v>16</v>
      </c>
      <c r="H13" s="1" t="s">
        <v>68</v>
      </c>
      <c r="I13" s="1">
        <v>45000</v>
      </c>
      <c r="J13" s="1">
        <v>0</v>
      </c>
      <c r="K13" s="1" t="str">
        <f>VLOOKUP($C13,customer_master!$A$2:$F$21,1,0)</f>
        <v>C260023</v>
      </c>
      <c r="L13" s="1" t="b">
        <f t="shared" si="0"/>
        <v>1</v>
      </c>
      <c r="M13" s="1" t="b">
        <f t="shared" si="1"/>
        <v>1</v>
      </c>
    </row>
    <row r="14" spans="1:14" x14ac:dyDescent="0.45">
      <c r="A14" s="2">
        <v>46310</v>
      </c>
      <c r="B14" s="3">
        <v>0.70833333333333337</v>
      </c>
      <c r="C14" s="1" t="s">
        <v>89</v>
      </c>
      <c r="D14" s="1" t="s">
        <v>18</v>
      </c>
      <c r="E14" s="1" t="s">
        <v>19</v>
      </c>
      <c r="F14" s="1" t="s">
        <v>15</v>
      </c>
      <c r="G14" s="1" t="s">
        <v>16</v>
      </c>
      <c r="H14" s="1" t="s">
        <v>90</v>
      </c>
      <c r="I14" s="1">
        <v>60000</v>
      </c>
      <c r="J14" s="1">
        <v>0</v>
      </c>
      <c r="K14" s="1" t="str">
        <f>VLOOKUP($C14,customer_master!$A$2:$F$21,1,0)</f>
        <v>C260024</v>
      </c>
      <c r="L14" s="1" t="b">
        <f t="shared" si="0"/>
        <v>1</v>
      </c>
      <c r="M14" s="1" t="b">
        <f t="shared" si="1"/>
        <v>1</v>
      </c>
    </row>
    <row r="15" spans="1:14" x14ac:dyDescent="0.45">
      <c r="A15" s="2">
        <v>46310</v>
      </c>
      <c r="B15" s="3">
        <v>0.72916666666666663</v>
      </c>
      <c r="C15" s="1" t="s">
        <v>91</v>
      </c>
      <c r="D15" s="1" t="s">
        <v>13</v>
      </c>
      <c r="E15" s="1" t="s">
        <v>22</v>
      </c>
      <c r="F15" s="1" t="s">
        <v>20</v>
      </c>
      <c r="G15" s="1" t="s">
        <v>16</v>
      </c>
      <c r="H15" s="1" t="s">
        <v>92</v>
      </c>
      <c r="I15" s="1">
        <v>220000</v>
      </c>
      <c r="J15" s="1">
        <v>0</v>
      </c>
      <c r="K15" s="1" t="str">
        <f>VLOOKUP($C15,customer_master!$A$2:$F$21,1,0)</f>
        <v>C260025</v>
      </c>
      <c r="L15" s="1" t="b">
        <f t="shared" si="0"/>
        <v>1</v>
      </c>
      <c r="M15" s="1" t="b">
        <f t="shared" si="1"/>
        <v>1</v>
      </c>
    </row>
    <row r="16" spans="1:14" x14ac:dyDescent="0.45">
      <c r="A16" s="2">
        <v>46310</v>
      </c>
      <c r="B16" s="3">
        <v>0.75</v>
      </c>
      <c r="C16" s="1" t="s">
        <v>93</v>
      </c>
      <c r="D16" s="1" t="s">
        <v>18</v>
      </c>
      <c r="E16" s="1" t="s">
        <v>25</v>
      </c>
      <c r="F16" s="1" t="s">
        <v>26</v>
      </c>
      <c r="G16" s="1" t="s">
        <v>16</v>
      </c>
      <c r="H16" s="1" t="s">
        <v>94</v>
      </c>
      <c r="I16" s="1">
        <v>0</v>
      </c>
      <c r="J16" s="1">
        <v>0</v>
      </c>
      <c r="K16" s="1" t="str">
        <f>VLOOKUP($C16,customer_master!$A$2:$F$21,1,0)</f>
        <v>C260026</v>
      </c>
      <c r="L16" s="1" t="b">
        <f t="shared" si="0"/>
        <v>1</v>
      </c>
      <c r="M16" s="1" t="b">
        <f t="shared" si="1"/>
        <v>1</v>
      </c>
    </row>
    <row r="17" spans="1:14" x14ac:dyDescent="0.45">
      <c r="A17" s="2">
        <v>46311</v>
      </c>
      <c r="B17" s="3">
        <v>0.41666666666666669</v>
      </c>
      <c r="C17" s="1" t="s">
        <v>95</v>
      </c>
      <c r="D17" s="1" t="s">
        <v>13</v>
      </c>
      <c r="E17" s="1" t="s">
        <v>78</v>
      </c>
      <c r="F17" s="1" t="s">
        <v>15</v>
      </c>
      <c r="G17" s="1" t="s">
        <v>16</v>
      </c>
      <c r="H17" s="1" t="s">
        <v>96</v>
      </c>
      <c r="I17" s="1">
        <v>450000</v>
      </c>
      <c r="J17" s="1">
        <v>0</v>
      </c>
      <c r="K17" s="1" t="str">
        <f>VLOOKUP($C17,customer_master!$A$2:$F$21,1,0)</f>
        <v>C260027</v>
      </c>
      <c r="L17" s="1" t="b">
        <f t="shared" si="0"/>
        <v>1</v>
      </c>
      <c r="M17" s="1" t="b">
        <f t="shared" si="1"/>
        <v>1</v>
      </c>
    </row>
    <row r="18" spans="1:14" x14ac:dyDescent="0.45">
      <c r="A18" s="2">
        <v>46311</v>
      </c>
      <c r="B18" s="3">
        <v>0.4375</v>
      </c>
      <c r="C18" s="1" t="s">
        <v>97</v>
      </c>
      <c r="D18" s="1" t="s">
        <v>18</v>
      </c>
      <c r="E18" s="1" t="s">
        <v>14</v>
      </c>
      <c r="F18" s="1" t="s">
        <v>20</v>
      </c>
      <c r="G18" s="1" t="s">
        <v>16</v>
      </c>
      <c r="H18" s="1" t="s">
        <v>98</v>
      </c>
      <c r="I18" s="1">
        <v>120000</v>
      </c>
      <c r="J18" s="1">
        <v>0</v>
      </c>
      <c r="K18" s="1" t="str">
        <f>VLOOKUP($C18,customer_master!$A$2:$F$21,1,0)</f>
        <v>C260028</v>
      </c>
      <c r="L18" s="1" t="b">
        <f t="shared" si="0"/>
        <v>1</v>
      </c>
      <c r="M18" s="1" t="b">
        <f t="shared" si="1"/>
        <v>1</v>
      </c>
    </row>
    <row r="19" spans="1:14" x14ac:dyDescent="0.45">
      <c r="A19" s="2">
        <v>46311</v>
      </c>
      <c r="B19" s="3">
        <v>0.46875</v>
      </c>
      <c r="C19" s="1" t="s">
        <v>99</v>
      </c>
      <c r="D19" s="1" t="s">
        <v>13</v>
      </c>
      <c r="E19" s="1" t="s">
        <v>19</v>
      </c>
      <c r="F19" s="1" t="s">
        <v>26</v>
      </c>
      <c r="G19" s="1" t="s">
        <v>23</v>
      </c>
      <c r="H19" s="1" t="s">
        <v>100</v>
      </c>
      <c r="I19" s="1">
        <v>0</v>
      </c>
      <c r="J19" s="1">
        <v>0</v>
      </c>
      <c r="K19" s="1" t="str">
        <f>VLOOKUP($C19,customer_master!$A$2:$F$21,1,0)</f>
        <v>C260029</v>
      </c>
      <c r="L19" s="1" t="b">
        <f t="shared" si="0"/>
        <v>1</v>
      </c>
      <c r="M19" s="1" t="b">
        <f t="shared" si="1"/>
        <v>1</v>
      </c>
    </row>
    <row r="20" spans="1:14" x14ac:dyDescent="0.45">
      <c r="A20" s="2">
        <v>46311</v>
      </c>
      <c r="B20" s="3">
        <v>0.48958333333333331</v>
      </c>
      <c r="C20" s="1" t="s">
        <v>101</v>
      </c>
      <c r="D20" s="1" t="s">
        <v>18</v>
      </c>
      <c r="E20" s="1" t="s">
        <v>25</v>
      </c>
      <c r="F20" s="1" t="s">
        <v>15</v>
      </c>
      <c r="G20" s="1" t="s">
        <v>16</v>
      </c>
      <c r="H20" s="1" t="s">
        <v>102</v>
      </c>
      <c r="I20" s="1">
        <v>150000</v>
      </c>
      <c r="J20" s="1">
        <v>0</v>
      </c>
      <c r="K20" s="1" t="str">
        <f>VLOOKUP($C20,customer_master!$A$2:$F$21,1,0)</f>
        <v>C260030</v>
      </c>
      <c r="L20" s="1" t="b">
        <f t="shared" si="0"/>
        <v>1</v>
      </c>
      <c r="M20" s="1" t="b">
        <f t="shared" si="1"/>
        <v>1</v>
      </c>
    </row>
    <row r="21" spans="1:14" x14ac:dyDescent="0.45">
      <c r="A21" s="2">
        <v>46311</v>
      </c>
      <c r="B21" s="3">
        <v>0.52083333333333337</v>
      </c>
      <c r="C21" s="1" t="s">
        <v>65</v>
      </c>
      <c r="D21" s="1" t="s">
        <v>13</v>
      </c>
      <c r="E21" s="1" t="s">
        <v>28</v>
      </c>
      <c r="F21" s="1" t="s">
        <v>20</v>
      </c>
      <c r="G21" s="1" t="s">
        <v>16</v>
      </c>
      <c r="H21" s="1" t="s">
        <v>72</v>
      </c>
      <c r="I21" s="1">
        <v>1200000</v>
      </c>
      <c r="J21" s="1">
        <v>0</v>
      </c>
      <c r="K21" s="1" t="str">
        <f>VLOOKUP($C21,customer_master!$A$2:$F$21,1,0)</f>
        <v>C250011</v>
      </c>
      <c r="L21" s="1" t="b">
        <f t="shared" si="0"/>
        <v>1</v>
      </c>
      <c r="M21" s="1" t="b">
        <f t="shared" si="1"/>
        <v>1</v>
      </c>
    </row>
    <row r="22" spans="1:14" x14ac:dyDescent="0.45">
      <c r="A22" s="2">
        <v>46311</v>
      </c>
      <c r="B22" s="3">
        <v>0.58333333333333337</v>
      </c>
      <c r="C22" s="1" t="s">
        <v>67</v>
      </c>
      <c r="D22" s="1" t="s">
        <v>18</v>
      </c>
      <c r="E22" s="1" t="s">
        <v>22</v>
      </c>
      <c r="F22" s="1" t="s">
        <v>26</v>
      </c>
      <c r="G22" s="1" t="s">
        <v>31</v>
      </c>
      <c r="H22" s="1" t="s">
        <v>103</v>
      </c>
      <c r="I22" s="1">
        <v>0</v>
      </c>
      <c r="J22" s="1">
        <v>0</v>
      </c>
      <c r="K22" s="1" t="str">
        <f>VLOOKUP($C22,customer_master!$A$2:$F$21,1,0)</f>
        <v>C250012</v>
      </c>
      <c r="L22" s="1" t="b">
        <f t="shared" si="0"/>
        <v>1</v>
      </c>
      <c r="M22" s="1" t="b">
        <f t="shared" si="1"/>
        <v>1</v>
      </c>
    </row>
    <row r="23" spans="1:14" x14ac:dyDescent="0.45">
      <c r="A23" s="2">
        <v>46311</v>
      </c>
      <c r="B23" s="3">
        <v>0.61111111111111116</v>
      </c>
      <c r="C23" s="1" t="s">
        <v>69</v>
      </c>
      <c r="D23" s="1" t="s">
        <v>13</v>
      </c>
      <c r="E23" s="1" t="s">
        <v>14</v>
      </c>
      <c r="F23" s="1" t="s">
        <v>15</v>
      </c>
      <c r="G23" s="1" t="s">
        <v>16</v>
      </c>
      <c r="H23" s="1" t="s">
        <v>66</v>
      </c>
      <c r="I23" s="1">
        <v>850000</v>
      </c>
      <c r="J23" s="1">
        <v>50000</v>
      </c>
      <c r="K23" s="1" t="str">
        <f>VLOOKUP($C23,customer_master!$A$2:$F$21,1,0)</f>
        <v>C250013</v>
      </c>
      <c r="L23" s="1" t="b">
        <f t="shared" si="0"/>
        <v>1</v>
      </c>
      <c r="M23" s="1" t="b">
        <f t="shared" si="1"/>
        <v>1</v>
      </c>
    </row>
    <row r="24" spans="1:14" x14ac:dyDescent="0.45">
      <c r="A24" s="2">
        <v>46311</v>
      </c>
      <c r="B24" s="3">
        <v>0.625</v>
      </c>
      <c r="C24" s="1" t="s">
        <v>71</v>
      </c>
      <c r="D24" s="1" t="s">
        <v>18</v>
      </c>
      <c r="E24" s="1" t="s">
        <v>19</v>
      </c>
      <c r="F24" s="1" t="s">
        <v>20</v>
      </c>
      <c r="G24" s="1" t="s">
        <v>16</v>
      </c>
      <c r="H24" s="1" t="s">
        <v>68</v>
      </c>
      <c r="I24" s="1">
        <v>45000</v>
      </c>
      <c r="J24" s="1">
        <v>0</v>
      </c>
      <c r="K24" s="1" t="str">
        <f>VLOOKUP($C24,customer_master!$A$2:$F$21,1,0)</f>
        <v>C250014</v>
      </c>
      <c r="L24" s="1" t="b">
        <f t="shared" si="0"/>
        <v>1</v>
      </c>
      <c r="M24" s="1" t="b">
        <f t="shared" si="1"/>
        <v>1</v>
      </c>
    </row>
    <row r="25" spans="1:14" x14ac:dyDescent="0.45">
      <c r="A25" s="2">
        <v>46311</v>
      </c>
      <c r="B25" s="3">
        <v>0.63888888888888884</v>
      </c>
      <c r="C25" s="1" t="s">
        <v>73</v>
      </c>
      <c r="D25" s="1" t="s">
        <v>13</v>
      </c>
      <c r="E25" s="1" t="s">
        <v>78</v>
      </c>
      <c r="F25" s="1" t="s">
        <v>26</v>
      </c>
      <c r="G25" s="1" t="s">
        <v>16</v>
      </c>
      <c r="H25" s="1" t="s">
        <v>70</v>
      </c>
      <c r="I25" s="1">
        <v>200000</v>
      </c>
      <c r="J25" s="4">
        <v>0</v>
      </c>
      <c r="K25" s="1" t="str">
        <f>VLOOKUP($C25,customer_master!$A$2:$F$21,1,0)</f>
        <v>C250015</v>
      </c>
      <c r="L25" s="1" t="b">
        <f t="shared" si="0"/>
        <v>1</v>
      </c>
      <c r="M25" s="1" t="b">
        <f t="shared" si="1"/>
        <v>1</v>
      </c>
      <c r="N25" t="s">
        <v>110</v>
      </c>
    </row>
    <row r="26" spans="1:14" x14ac:dyDescent="0.45">
      <c r="A26" s="2">
        <v>46311</v>
      </c>
      <c r="B26" s="3">
        <v>0.66666666666666663</v>
      </c>
      <c r="C26" s="1" t="s">
        <v>75</v>
      </c>
      <c r="D26" s="1" t="s">
        <v>18</v>
      </c>
      <c r="E26" s="1" t="s">
        <v>28</v>
      </c>
      <c r="F26" s="1" t="s">
        <v>15</v>
      </c>
      <c r="G26" s="1" t="s">
        <v>16</v>
      </c>
      <c r="H26" s="1" t="s">
        <v>104</v>
      </c>
      <c r="I26" s="1">
        <v>120000</v>
      </c>
      <c r="J26" s="1">
        <v>0</v>
      </c>
      <c r="K26" s="1" t="str">
        <f>VLOOKUP($C26,customer_master!$A$2:$F$21,1,0)</f>
        <v>C250016</v>
      </c>
      <c r="L26" s="1" t="b">
        <f t="shared" si="0"/>
        <v>1</v>
      </c>
      <c r="M26" s="1" t="b">
        <f t="shared" si="1"/>
        <v>1</v>
      </c>
    </row>
    <row r="27" spans="1:14" x14ac:dyDescent="0.45">
      <c r="A27" s="2">
        <v>46311</v>
      </c>
      <c r="B27" s="3">
        <v>0.6875</v>
      </c>
      <c r="C27" s="1" t="s">
        <v>77</v>
      </c>
      <c r="D27" s="1" t="s">
        <v>13</v>
      </c>
      <c r="E27" s="1" t="s">
        <v>25</v>
      </c>
      <c r="F27" s="1" t="s">
        <v>20</v>
      </c>
      <c r="G27" s="1" t="s">
        <v>31</v>
      </c>
      <c r="H27" s="1" t="s">
        <v>74</v>
      </c>
      <c r="I27" s="1">
        <v>0</v>
      </c>
      <c r="J27" s="4">
        <v>0</v>
      </c>
      <c r="K27" s="1" t="str">
        <f>VLOOKUP($C27,customer_master!$A$2:$F$21,1,0)</f>
        <v>C250017</v>
      </c>
      <c r="L27" s="1" t="b">
        <f t="shared" si="0"/>
        <v>1</v>
      </c>
      <c r="M27" s="1" t="b">
        <f t="shared" si="1"/>
        <v>1</v>
      </c>
      <c r="N27" t="s">
        <v>137</v>
      </c>
    </row>
    <row r="28" spans="1:14" x14ac:dyDescent="0.45">
      <c r="A28" s="2">
        <v>46311</v>
      </c>
      <c r="B28" s="3">
        <v>0.70833333333333337</v>
      </c>
      <c r="C28" s="1" t="s">
        <v>80</v>
      </c>
      <c r="D28" s="1" t="s">
        <v>18</v>
      </c>
      <c r="E28" s="1" t="s">
        <v>14</v>
      </c>
      <c r="F28" s="1" t="s">
        <v>26</v>
      </c>
      <c r="G28" s="1" t="s">
        <v>23</v>
      </c>
      <c r="H28" s="1" t="s">
        <v>76</v>
      </c>
      <c r="I28" s="1">
        <v>0</v>
      </c>
      <c r="J28" s="1">
        <v>0</v>
      </c>
      <c r="K28" s="1" t="str">
        <f>VLOOKUP($C28,customer_master!$A$2:$F$21,1,0)</f>
        <v>C250018</v>
      </c>
      <c r="L28" s="1" t="b">
        <f t="shared" si="0"/>
        <v>1</v>
      </c>
      <c r="M28" s="1" t="b">
        <f t="shared" si="1"/>
        <v>1</v>
      </c>
    </row>
    <row r="29" spans="1:14" x14ac:dyDescent="0.45">
      <c r="A29" s="2">
        <v>46311</v>
      </c>
      <c r="B29" s="3">
        <v>0.73611111111111116</v>
      </c>
      <c r="C29" s="1" t="s">
        <v>105</v>
      </c>
      <c r="D29" s="1" t="s">
        <v>13</v>
      </c>
      <c r="E29" s="1" t="s">
        <v>19</v>
      </c>
      <c r="F29" s="1" t="s">
        <v>15</v>
      </c>
      <c r="G29" s="1" t="s">
        <v>16</v>
      </c>
      <c r="H29" s="1" t="s">
        <v>98</v>
      </c>
      <c r="I29" s="1">
        <v>120000</v>
      </c>
      <c r="J29" s="1">
        <v>0</v>
      </c>
      <c r="K29" s="1" t="str">
        <f>VLOOKUP($C29,customer_master!$A$2:$F$21,1,0)</f>
        <v>C250019</v>
      </c>
      <c r="L29" s="1" t="b">
        <f t="shared" si="0"/>
        <v>1</v>
      </c>
      <c r="M29" s="1" t="b">
        <f t="shared" si="1"/>
        <v>1</v>
      </c>
    </row>
    <row r="30" spans="1:14" x14ac:dyDescent="0.45">
      <c r="A30" s="2">
        <v>46312</v>
      </c>
      <c r="B30" s="3">
        <v>0.41666666666666669</v>
      </c>
      <c r="C30" s="1" t="s">
        <v>83</v>
      </c>
      <c r="D30" s="1" t="s">
        <v>18</v>
      </c>
      <c r="E30" s="1" t="s">
        <v>22</v>
      </c>
      <c r="F30" s="1" t="s">
        <v>20</v>
      </c>
      <c r="G30" s="1" t="s">
        <v>16</v>
      </c>
      <c r="H30" s="1" t="s">
        <v>81</v>
      </c>
      <c r="I30" s="1">
        <v>35000</v>
      </c>
      <c r="J30" s="1">
        <v>0</v>
      </c>
      <c r="K30" s="1" t="str">
        <f>VLOOKUP($C30,customer_master!$A$2:$F$21,1,0)</f>
        <v>C250020</v>
      </c>
      <c r="L30" s="1" t="b">
        <f t="shared" si="0"/>
        <v>1</v>
      </c>
      <c r="M30" s="1" t="b">
        <f t="shared" si="1"/>
        <v>1</v>
      </c>
    </row>
    <row r="31" spans="1:14" x14ac:dyDescent="0.45">
      <c r="A31" s="2">
        <v>46312</v>
      </c>
      <c r="B31" s="3">
        <v>0.42708333333333331</v>
      </c>
      <c r="C31" s="1" t="s">
        <v>85</v>
      </c>
      <c r="D31" s="1" t="s">
        <v>13</v>
      </c>
      <c r="E31" s="1" t="s">
        <v>28</v>
      </c>
      <c r="F31" s="1" t="s">
        <v>26</v>
      </c>
      <c r="G31" s="1" t="s">
        <v>16</v>
      </c>
      <c r="H31" s="1" t="s">
        <v>82</v>
      </c>
      <c r="I31" s="1">
        <v>180000</v>
      </c>
      <c r="J31" s="1">
        <v>50000</v>
      </c>
      <c r="K31" s="1" t="str">
        <f>VLOOKUP($C31,customer_master!$A$2:$F$21,1,0)</f>
        <v>C260021</v>
      </c>
      <c r="L31" s="1" t="b">
        <f t="shared" si="0"/>
        <v>1</v>
      </c>
      <c r="M31" s="1" t="b">
        <f t="shared" si="1"/>
        <v>1</v>
      </c>
    </row>
    <row r="32" spans="1:14" x14ac:dyDescent="0.45">
      <c r="A32" s="2">
        <v>46312</v>
      </c>
      <c r="B32" s="3">
        <v>0.45833333333333331</v>
      </c>
      <c r="C32" s="1" t="s">
        <v>87</v>
      </c>
      <c r="D32" s="1" t="s">
        <v>18</v>
      </c>
      <c r="E32" s="1" t="s">
        <v>25</v>
      </c>
      <c r="F32" s="1" t="s">
        <v>15</v>
      </c>
      <c r="G32" s="1" t="s">
        <v>16</v>
      </c>
      <c r="H32" s="1" t="s">
        <v>106</v>
      </c>
      <c r="I32" s="1">
        <v>2200000</v>
      </c>
      <c r="J32" s="1">
        <v>0</v>
      </c>
      <c r="K32" s="1" t="str">
        <f>VLOOKUP($C32,customer_master!$A$2:$F$21,1,0)</f>
        <v>C260022</v>
      </c>
      <c r="L32" s="1" t="b">
        <f t="shared" si="0"/>
        <v>1</v>
      </c>
      <c r="M32" s="1" t="b">
        <f t="shared" si="1"/>
        <v>1</v>
      </c>
    </row>
    <row r="33" spans="1:14" x14ac:dyDescent="0.45">
      <c r="A33" s="2">
        <v>46312</v>
      </c>
      <c r="B33" s="3">
        <v>0.47916666666666669</v>
      </c>
      <c r="C33" s="1" t="s">
        <v>88</v>
      </c>
      <c r="D33" s="1" t="s">
        <v>13</v>
      </c>
      <c r="E33" s="1" t="s">
        <v>14</v>
      </c>
      <c r="F33" s="1" t="s">
        <v>20</v>
      </c>
      <c r="G33" s="1" t="s">
        <v>31</v>
      </c>
      <c r="H33" s="1" t="s">
        <v>79</v>
      </c>
      <c r="I33" s="1">
        <v>0</v>
      </c>
      <c r="J33" s="1">
        <v>0</v>
      </c>
      <c r="K33" s="1" t="str">
        <f>VLOOKUP($C33,customer_master!$A$2:$F$21,1,0)</f>
        <v>C260023</v>
      </c>
      <c r="L33" s="1" t="b">
        <f t="shared" si="0"/>
        <v>1</v>
      </c>
      <c r="M33" s="1" t="b">
        <f t="shared" si="1"/>
        <v>1</v>
      </c>
    </row>
    <row r="34" spans="1:14" x14ac:dyDescent="0.45">
      <c r="A34" s="2">
        <v>46312</v>
      </c>
      <c r="B34" s="3">
        <v>0.5</v>
      </c>
      <c r="C34" s="1" t="s">
        <v>89</v>
      </c>
      <c r="D34" s="1" t="s">
        <v>18</v>
      </c>
      <c r="E34" s="1" t="s">
        <v>19</v>
      </c>
      <c r="F34" s="1" t="s">
        <v>26</v>
      </c>
      <c r="G34" s="1" t="s">
        <v>16</v>
      </c>
      <c r="H34" s="1" t="s">
        <v>107</v>
      </c>
      <c r="I34" s="1">
        <v>80000</v>
      </c>
      <c r="J34" s="1">
        <v>0</v>
      </c>
      <c r="K34" s="1" t="str">
        <f>VLOOKUP($C34,customer_master!$A$2:$F$21,1,0)</f>
        <v>C260024</v>
      </c>
      <c r="L34" s="1" t="b">
        <f t="shared" si="0"/>
        <v>1</v>
      </c>
      <c r="M34" s="1" t="b">
        <f t="shared" si="1"/>
        <v>1</v>
      </c>
    </row>
    <row r="35" spans="1:14" x14ac:dyDescent="0.45">
      <c r="A35" s="2">
        <v>46312</v>
      </c>
      <c r="B35" s="3">
        <v>0.54166666666666663</v>
      </c>
      <c r="C35" s="1" t="s">
        <v>91</v>
      </c>
      <c r="D35" s="1" t="s">
        <v>13</v>
      </c>
      <c r="E35" s="1" t="s">
        <v>78</v>
      </c>
      <c r="F35" s="1" t="s">
        <v>15</v>
      </c>
      <c r="G35" s="1" t="s">
        <v>23</v>
      </c>
      <c r="H35" s="1" t="s">
        <v>66</v>
      </c>
      <c r="I35" s="1">
        <v>0</v>
      </c>
      <c r="J35" s="1">
        <v>0</v>
      </c>
      <c r="K35" s="1" t="str">
        <f>VLOOKUP($C35,customer_master!$A$2:$F$21,1,0)</f>
        <v>C260025</v>
      </c>
      <c r="L35" s="1" t="b">
        <f t="shared" si="0"/>
        <v>1</v>
      </c>
      <c r="M35" s="1" t="b">
        <f t="shared" si="1"/>
        <v>1</v>
      </c>
    </row>
    <row r="36" spans="1:14" x14ac:dyDescent="0.45">
      <c r="A36" s="2">
        <v>46312</v>
      </c>
      <c r="B36" s="3">
        <v>0.5625</v>
      </c>
      <c r="C36" s="1" t="s">
        <v>93</v>
      </c>
      <c r="D36" s="1" t="s">
        <v>18</v>
      </c>
      <c r="E36" s="1" t="s">
        <v>28</v>
      </c>
      <c r="F36" s="1" t="s">
        <v>20</v>
      </c>
      <c r="G36" s="1" t="s">
        <v>16</v>
      </c>
      <c r="H36" s="1" t="s">
        <v>68</v>
      </c>
      <c r="I36" s="1">
        <v>45000</v>
      </c>
      <c r="J36" s="1">
        <v>0</v>
      </c>
      <c r="K36" s="1" t="str">
        <f>VLOOKUP($C36,customer_master!$A$2:$F$21,1,0)</f>
        <v>C260026</v>
      </c>
      <c r="L36" s="1" t="b">
        <f t="shared" si="0"/>
        <v>1</v>
      </c>
      <c r="M36" s="1" t="b">
        <f t="shared" si="1"/>
        <v>1</v>
      </c>
    </row>
    <row r="37" spans="1:14" x14ac:dyDescent="0.45">
      <c r="A37" s="2">
        <v>46312</v>
      </c>
      <c r="B37" s="3">
        <v>0.58333333333333337</v>
      </c>
      <c r="C37" s="1" t="s">
        <v>95</v>
      </c>
      <c r="D37" s="1" t="s">
        <v>13</v>
      </c>
      <c r="E37" s="1" t="s">
        <v>25</v>
      </c>
      <c r="F37" s="1" t="s">
        <v>26</v>
      </c>
      <c r="G37" s="1" t="s">
        <v>16</v>
      </c>
      <c r="H37" s="1" t="s">
        <v>92</v>
      </c>
      <c r="I37" s="1">
        <v>220000</v>
      </c>
      <c r="J37" s="1">
        <v>0</v>
      </c>
      <c r="K37" s="1" t="str">
        <f>VLOOKUP($C37,customer_master!$A$2:$F$21,1,0)</f>
        <v>C260027</v>
      </c>
      <c r="L37" s="1" t="b">
        <f t="shared" si="0"/>
        <v>1</v>
      </c>
      <c r="M37" s="1" t="b">
        <f t="shared" si="1"/>
        <v>1</v>
      </c>
    </row>
    <row r="38" spans="1:14" x14ac:dyDescent="0.45">
      <c r="A38" s="2">
        <v>46312</v>
      </c>
      <c r="B38" s="3">
        <v>0.61458333333333337</v>
      </c>
      <c r="C38" s="1" t="s">
        <v>97</v>
      </c>
      <c r="D38" s="1" t="s">
        <v>18</v>
      </c>
      <c r="E38" s="1" t="s">
        <v>22</v>
      </c>
      <c r="F38" s="1" t="s">
        <v>15</v>
      </c>
      <c r="G38" s="1" t="s">
        <v>16</v>
      </c>
      <c r="H38" s="1" t="s">
        <v>94</v>
      </c>
      <c r="I38" s="1">
        <v>2500000</v>
      </c>
      <c r="J38" s="1">
        <v>500000</v>
      </c>
      <c r="K38" s="1" t="str">
        <f>VLOOKUP($C38,customer_master!$A$2:$F$21,1,0)</f>
        <v>C260028</v>
      </c>
      <c r="L38" s="1" t="b">
        <f t="shared" si="0"/>
        <v>1</v>
      </c>
      <c r="M38" s="1" t="b">
        <f t="shared" si="1"/>
        <v>1</v>
      </c>
    </row>
    <row r="39" spans="1:14" x14ac:dyDescent="0.45">
      <c r="A39" s="2">
        <v>46312</v>
      </c>
      <c r="B39" s="3">
        <v>0.63541666666666663</v>
      </c>
      <c r="C39" s="1" t="s">
        <v>99</v>
      </c>
      <c r="D39" s="1" t="s">
        <v>13</v>
      </c>
      <c r="E39" s="1" t="s">
        <v>19</v>
      </c>
      <c r="F39" s="1" t="s">
        <v>20</v>
      </c>
      <c r="G39" s="1" t="s">
        <v>16</v>
      </c>
      <c r="H39" s="1" t="s">
        <v>96</v>
      </c>
      <c r="I39" s="1">
        <v>450000</v>
      </c>
      <c r="J39" s="1">
        <v>0</v>
      </c>
      <c r="K39" s="1" t="str">
        <f>VLOOKUP($C39,customer_master!$A$2:$F$21,1,0)</f>
        <v>C260029</v>
      </c>
      <c r="L39" s="1" t="b">
        <f t="shared" si="0"/>
        <v>1</v>
      </c>
      <c r="M39" s="1" t="b">
        <f t="shared" si="1"/>
        <v>1</v>
      </c>
    </row>
    <row r="40" spans="1:14" x14ac:dyDescent="0.45">
      <c r="A40" s="2">
        <v>46312</v>
      </c>
      <c r="B40" s="3">
        <v>0.66666666666666663</v>
      </c>
      <c r="C40" s="1" t="s">
        <v>65</v>
      </c>
      <c r="D40" s="1" t="s">
        <v>13</v>
      </c>
      <c r="E40" s="1" t="s">
        <v>28</v>
      </c>
      <c r="F40" s="1" t="s">
        <v>15</v>
      </c>
      <c r="G40" s="1" t="s">
        <v>16</v>
      </c>
      <c r="H40" s="1" t="s">
        <v>98</v>
      </c>
      <c r="I40" s="1">
        <v>120000</v>
      </c>
      <c r="J40" s="1">
        <v>0</v>
      </c>
      <c r="K40" s="1" t="str">
        <f>VLOOKUP($C40,customer_master!$A$2:$F$21,1,0)</f>
        <v>C250011</v>
      </c>
      <c r="L40" s="1" t="b">
        <f t="shared" si="0"/>
        <v>1</v>
      </c>
      <c r="M40" s="1" t="b">
        <f t="shared" si="1"/>
        <v>1</v>
      </c>
    </row>
    <row r="41" spans="1:14" x14ac:dyDescent="0.45">
      <c r="A41" s="2">
        <v>46312</v>
      </c>
      <c r="B41" s="3">
        <v>0.6875</v>
      </c>
      <c r="C41" s="1" t="s">
        <v>67</v>
      </c>
      <c r="D41" s="1" t="s">
        <v>18</v>
      </c>
      <c r="E41" s="1" t="s">
        <v>25</v>
      </c>
      <c r="F41" s="1" t="s">
        <v>20</v>
      </c>
      <c r="G41" s="1" t="s">
        <v>23</v>
      </c>
      <c r="H41" s="1" t="s">
        <v>81</v>
      </c>
      <c r="I41" s="4">
        <v>0</v>
      </c>
      <c r="J41" s="1">
        <v>0</v>
      </c>
      <c r="K41" s="1" t="str">
        <f>VLOOKUP($C41,customer_master!$A$2:$F$21,1,0)</f>
        <v>C250012</v>
      </c>
      <c r="L41" s="1" t="b">
        <f t="shared" si="0"/>
        <v>1</v>
      </c>
      <c r="M41" s="1" t="b">
        <f t="shared" si="1"/>
        <v>1</v>
      </c>
      <c r="N41" t="s">
        <v>109</v>
      </c>
    </row>
    <row r="42" spans="1:14" x14ac:dyDescent="0.45">
      <c r="A42" s="2">
        <v>46312</v>
      </c>
      <c r="B42" s="3">
        <v>0.70833333333333337</v>
      </c>
      <c r="C42" s="1" t="s">
        <v>69</v>
      </c>
      <c r="D42" s="1" t="s">
        <v>13</v>
      </c>
      <c r="E42" s="1" t="s">
        <v>78</v>
      </c>
      <c r="F42" s="1" t="s">
        <v>26</v>
      </c>
      <c r="G42" s="1" t="s">
        <v>16</v>
      </c>
      <c r="H42" s="1" t="s">
        <v>70</v>
      </c>
      <c r="I42" s="1">
        <v>200000</v>
      </c>
      <c r="J42" s="1">
        <v>0</v>
      </c>
      <c r="K42" s="1" t="str">
        <f>VLOOKUP($C42,customer_master!$A$2:$F$21,1,0)</f>
        <v>C250013</v>
      </c>
      <c r="L42" s="1" t="b">
        <f t="shared" si="0"/>
        <v>1</v>
      </c>
      <c r="M42" s="1" t="b">
        <f t="shared" si="1"/>
        <v>1</v>
      </c>
    </row>
    <row r="43" spans="1:14" x14ac:dyDescent="0.45">
      <c r="A43" s="2">
        <v>46312</v>
      </c>
      <c r="B43" s="3">
        <v>0.72222222222222221</v>
      </c>
      <c r="C43" s="1" t="s">
        <v>71</v>
      </c>
      <c r="D43" s="1" t="s">
        <v>18</v>
      </c>
      <c r="E43" s="1" t="s">
        <v>19</v>
      </c>
      <c r="F43" s="1" t="s">
        <v>15</v>
      </c>
      <c r="G43" s="1" t="s">
        <v>16</v>
      </c>
      <c r="H43" s="1" t="s">
        <v>72</v>
      </c>
      <c r="I43" s="1">
        <v>1200000</v>
      </c>
      <c r="J43" s="1">
        <v>0</v>
      </c>
      <c r="K43" s="1" t="str">
        <f>VLOOKUP($C43,customer_master!$A$2:$F$21,1,0)</f>
        <v>C250014</v>
      </c>
      <c r="L43" s="1" t="b">
        <f t="shared" si="0"/>
        <v>1</v>
      </c>
      <c r="M43" s="1" t="b">
        <f t="shared" si="1"/>
        <v>1</v>
      </c>
    </row>
    <row r="44" spans="1:14" x14ac:dyDescent="0.45">
      <c r="A44" s="2">
        <v>46312</v>
      </c>
      <c r="B44" s="3">
        <v>0.74305555555555558</v>
      </c>
      <c r="C44" s="1" t="s">
        <v>73</v>
      </c>
      <c r="D44" s="1" t="s">
        <v>13</v>
      </c>
      <c r="E44" s="1" t="s">
        <v>22</v>
      </c>
      <c r="F44" s="1" t="s">
        <v>20</v>
      </c>
      <c r="G44" s="1" t="s">
        <v>16</v>
      </c>
      <c r="H44" s="1" t="s">
        <v>74</v>
      </c>
      <c r="I44" s="1">
        <v>290000</v>
      </c>
      <c r="J44" s="1">
        <v>0</v>
      </c>
      <c r="K44" s="1" t="str">
        <f>VLOOKUP($C44,customer_master!$A$2:$F$21,1,0)</f>
        <v>C250015</v>
      </c>
      <c r="L44" s="1" t="b">
        <f t="shared" si="0"/>
        <v>1</v>
      </c>
      <c r="M44" s="1" t="b">
        <f t="shared" si="1"/>
        <v>1</v>
      </c>
    </row>
    <row r="45" spans="1:14" x14ac:dyDescent="0.45">
      <c r="A45" s="2">
        <v>46313</v>
      </c>
      <c r="B45" s="3">
        <v>0.41666666666666669</v>
      </c>
      <c r="C45" s="1" t="s">
        <v>75</v>
      </c>
      <c r="D45" s="1" t="s">
        <v>18</v>
      </c>
      <c r="E45" s="1" t="s">
        <v>14</v>
      </c>
      <c r="F45" s="1" t="s">
        <v>26</v>
      </c>
      <c r="G45" s="1" t="s">
        <v>31</v>
      </c>
      <c r="H45" s="1" t="s">
        <v>84</v>
      </c>
      <c r="I45" s="4">
        <v>0</v>
      </c>
      <c r="J45" s="1">
        <v>0</v>
      </c>
      <c r="K45" s="1" t="str">
        <f>VLOOKUP($C45,customer_master!$A$2:$F$21,1,0)</f>
        <v>C250016</v>
      </c>
      <c r="L45" s="1" t="b">
        <f t="shared" si="0"/>
        <v>1</v>
      </c>
      <c r="M45" s="1" t="b">
        <f t="shared" si="1"/>
        <v>1</v>
      </c>
      <c r="N45" t="s">
        <v>108</v>
      </c>
    </row>
    <row r="46" spans="1:14" x14ac:dyDescent="0.45">
      <c r="A46" s="2">
        <v>46313</v>
      </c>
      <c r="B46" s="3">
        <v>0.4375</v>
      </c>
      <c r="C46" s="1" t="s">
        <v>77</v>
      </c>
      <c r="D46" s="1" t="s">
        <v>13</v>
      </c>
      <c r="E46" s="1" t="s">
        <v>28</v>
      </c>
      <c r="F46" s="1" t="s">
        <v>15</v>
      </c>
      <c r="G46" s="1" t="s">
        <v>16</v>
      </c>
      <c r="H46" s="1" t="s">
        <v>86</v>
      </c>
      <c r="I46" s="1">
        <v>50000</v>
      </c>
      <c r="J46" s="1">
        <v>0</v>
      </c>
      <c r="K46" s="1" t="str">
        <f>VLOOKUP($C46,customer_master!$A$2:$F$21,1,0)</f>
        <v>C250017</v>
      </c>
      <c r="L46" s="1" t="b">
        <f t="shared" si="0"/>
        <v>1</v>
      </c>
      <c r="M46" s="1" t="b">
        <f t="shared" si="1"/>
        <v>1</v>
      </c>
    </row>
    <row r="47" spans="1:14" x14ac:dyDescent="0.45">
      <c r="A47" s="2">
        <v>46313</v>
      </c>
      <c r="B47" s="3">
        <v>0.46527777777777779</v>
      </c>
      <c r="C47" s="1" t="s">
        <v>80</v>
      </c>
      <c r="D47" s="1" t="s">
        <v>18</v>
      </c>
      <c r="E47" s="1" t="s">
        <v>25</v>
      </c>
      <c r="F47" s="1" t="s">
        <v>20</v>
      </c>
      <c r="G47" s="1" t="s">
        <v>16</v>
      </c>
      <c r="H47" s="1" t="s">
        <v>68</v>
      </c>
      <c r="I47" s="1">
        <v>45000</v>
      </c>
      <c r="J47" s="1">
        <v>0</v>
      </c>
      <c r="K47" s="1" t="str">
        <f>VLOOKUP($C47,customer_master!$A$2:$F$21,1,0)</f>
        <v>C250018</v>
      </c>
      <c r="L47" s="1" t="b">
        <f t="shared" si="0"/>
        <v>1</v>
      </c>
      <c r="M47" s="1" t="b">
        <f t="shared" si="1"/>
        <v>1</v>
      </c>
    </row>
    <row r="48" spans="1:14" x14ac:dyDescent="0.45">
      <c r="A48" s="2">
        <v>46313</v>
      </c>
      <c r="B48" s="3">
        <v>0.5</v>
      </c>
      <c r="C48" s="1" t="s">
        <v>83</v>
      </c>
      <c r="D48" s="1" t="s">
        <v>18</v>
      </c>
      <c r="E48" s="1" t="s">
        <v>22</v>
      </c>
      <c r="F48" s="1" t="s">
        <v>15</v>
      </c>
      <c r="G48" s="1" t="s">
        <v>23</v>
      </c>
      <c r="H48" s="1" t="s">
        <v>94</v>
      </c>
      <c r="I48" s="1">
        <v>0</v>
      </c>
      <c r="J48" s="4">
        <v>0</v>
      </c>
      <c r="K48" s="1" t="str">
        <f>VLOOKUP($C48,customer_master!$A$2:$F$21,1,0)</f>
        <v>C250020</v>
      </c>
      <c r="L48" s="1" t="b">
        <f t="shared" si="0"/>
        <v>1</v>
      </c>
      <c r="M48" s="1" t="b">
        <f t="shared" si="1"/>
        <v>1</v>
      </c>
      <c r="N48" t="s">
        <v>137</v>
      </c>
    </row>
  </sheetData>
  <autoFilter ref="A1:N48" xr:uid="{D5D1E5F6-42FA-4B01-B009-AD16B1BC61AC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5EC7-72E9-45DA-9143-74B6F7625C2A}">
  <dimension ref="A1:J21"/>
  <sheetViews>
    <sheetView workbookViewId="0">
      <selection activeCell="H21" sqref="H21"/>
    </sheetView>
  </sheetViews>
  <sheetFormatPr defaultRowHeight="17" x14ac:dyDescent="0.45"/>
  <cols>
    <col min="1" max="1" width="12.1640625" customWidth="1"/>
    <col min="6" max="6" width="16.25" customWidth="1"/>
    <col min="12" max="12" width="30.08203125" bestFit="1" customWidth="1"/>
  </cols>
  <sheetData>
    <row r="1" spans="1:10" x14ac:dyDescent="0.45">
      <c r="A1" s="1" t="s">
        <v>2</v>
      </c>
      <c r="B1" s="1" t="s">
        <v>3</v>
      </c>
      <c r="C1" s="1" t="s">
        <v>4</v>
      </c>
      <c r="D1" s="1" t="s">
        <v>111</v>
      </c>
      <c r="E1" s="1" t="s">
        <v>112</v>
      </c>
      <c r="F1" s="1" t="s">
        <v>113</v>
      </c>
      <c r="G1" s="1"/>
      <c r="H1" s="1"/>
      <c r="I1" s="1"/>
      <c r="J1" s="1"/>
    </row>
    <row r="2" spans="1:10" x14ac:dyDescent="0.45">
      <c r="A2" s="2" t="s">
        <v>65</v>
      </c>
      <c r="B2" s="3" t="s">
        <v>35</v>
      </c>
      <c r="C2" s="1" t="s">
        <v>12</v>
      </c>
      <c r="D2" s="1" t="s">
        <v>114</v>
      </c>
      <c r="E2" s="1" t="s">
        <v>115</v>
      </c>
      <c r="F2" s="2">
        <v>45667</v>
      </c>
      <c r="G2" s="1"/>
      <c r="H2" s="1"/>
      <c r="I2" s="1"/>
      <c r="J2" s="1"/>
    </row>
    <row r="3" spans="1:10" x14ac:dyDescent="0.45">
      <c r="A3" s="2" t="s">
        <v>67</v>
      </c>
      <c r="B3" s="3" t="s">
        <v>37</v>
      </c>
      <c r="C3" s="1" t="s">
        <v>17</v>
      </c>
      <c r="D3" s="1" t="s">
        <v>116</v>
      </c>
      <c r="E3" s="1" t="s">
        <v>117</v>
      </c>
      <c r="F3" s="2">
        <v>45703</v>
      </c>
      <c r="G3" s="1"/>
      <c r="H3" s="1"/>
      <c r="I3" s="1"/>
      <c r="J3" s="1"/>
    </row>
    <row r="4" spans="1:10" x14ac:dyDescent="0.45">
      <c r="A4" s="2" t="s">
        <v>69</v>
      </c>
      <c r="B4" s="3" t="s">
        <v>39</v>
      </c>
      <c r="C4" s="1" t="s">
        <v>21</v>
      </c>
      <c r="D4" s="1" t="s">
        <v>118</v>
      </c>
      <c r="E4" s="1" t="s">
        <v>119</v>
      </c>
      <c r="F4" s="2">
        <v>45717</v>
      </c>
      <c r="G4" s="1"/>
      <c r="H4" s="1"/>
      <c r="I4" s="1"/>
      <c r="J4" s="1"/>
    </row>
    <row r="5" spans="1:10" x14ac:dyDescent="0.45">
      <c r="A5" s="2" t="s">
        <v>71</v>
      </c>
      <c r="B5" s="3" t="s">
        <v>41</v>
      </c>
      <c r="C5" s="1" t="s">
        <v>24</v>
      </c>
      <c r="D5" s="1" t="s">
        <v>120</v>
      </c>
      <c r="E5" s="1" t="s">
        <v>117</v>
      </c>
      <c r="F5" s="2">
        <v>45757</v>
      </c>
      <c r="G5" s="1"/>
      <c r="H5" s="1"/>
      <c r="I5" s="1"/>
      <c r="J5" s="1"/>
    </row>
    <row r="6" spans="1:10" x14ac:dyDescent="0.45">
      <c r="A6" s="2" t="s">
        <v>73</v>
      </c>
      <c r="B6" s="3" t="s">
        <v>43</v>
      </c>
      <c r="C6" s="1" t="s">
        <v>27</v>
      </c>
      <c r="D6" s="1" t="s">
        <v>121</v>
      </c>
      <c r="E6" s="1" t="s">
        <v>115</v>
      </c>
      <c r="F6" s="2">
        <v>45782</v>
      </c>
      <c r="G6" s="1"/>
      <c r="H6" s="1"/>
      <c r="I6" s="1"/>
      <c r="J6" s="1"/>
    </row>
    <row r="7" spans="1:10" x14ac:dyDescent="0.45">
      <c r="A7" s="2" t="s">
        <v>75</v>
      </c>
      <c r="B7" s="3" t="s">
        <v>45</v>
      </c>
      <c r="C7" s="1" t="s">
        <v>29</v>
      </c>
      <c r="D7" s="1" t="s">
        <v>122</v>
      </c>
      <c r="E7" s="1" t="s">
        <v>119</v>
      </c>
      <c r="F7" s="2">
        <v>45828</v>
      </c>
      <c r="G7" s="1"/>
      <c r="H7" s="1"/>
      <c r="I7" s="1"/>
      <c r="J7" s="1"/>
    </row>
    <row r="8" spans="1:10" x14ac:dyDescent="0.45">
      <c r="A8" s="2" t="s">
        <v>77</v>
      </c>
      <c r="B8" s="3" t="s">
        <v>47</v>
      </c>
      <c r="C8" s="1" t="s">
        <v>30</v>
      </c>
      <c r="D8" s="1" t="s">
        <v>123</v>
      </c>
      <c r="E8" s="1" t="s">
        <v>117</v>
      </c>
      <c r="F8" s="2">
        <v>45839</v>
      </c>
      <c r="G8" s="1"/>
      <c r="H8" s="1"/>
      <c r="I8" s="1"/>
      <c r="J8" s="1"/>
    </row>
    <row r="9" spans="1:10" x14ac:dyDescent="0.45">
      <c r="A9" s="2" t="s">
        <v>80</v>
      </c>
      <c r="B9" s="3" t="s">
        <v>49</v>
      </c>
      <c r="C9" s="1" t="s">
        <v>32</v>
      </c>
      <c r="D9" s="1" t="s">
        <v>124</v>
      </c>
      <c r="E9" s="1" t="s">
        <v>117</v>
      </c>
      <c r="F9" s="2">
        <v>45884</v>
      </c>
      <c r="G9" s="1"/>
      <c r="H9" s="1"/>
      <c r="I9" s="1"/>
      <c r="J9" s="1"/>
    </row>
    <row r="10" spans="1:10" x14ac:dyDescent="0.45">
      <c r="A10" s="2" t="s">
        <v>105</v>
      </c>
      <c r="B10" s="3" t="s">
        <v>51</v>
      </c>
      <c r="C10" s="1" t="s">
        <v>33</v>
      </c>
      <c r="D10" s="1" t="s">
        <v>125</v>
      </c>
      <c r="E10" s="1" t="s">
        <v>119</v>
      </c>
      <c r="F10" s="2">
        <v>45901</v>
      </c>
      <c r="G10" s="1"/>
      <c r="H10" s="1"/>
      <c r="I10" s="1"/>
      <c r="J10" s="1"/>
    </row>
    <row r="11" spans="1:10" x14ac:dyDescent="0.45">
      <c r="A11" s="2" t="s">
        <v>83</v>
      </c>
      <c r="B11" s="3" t="s">
        <v>53</v>
      </c>
      <c r="C11" s="1" t="s">
        <v>34</v>
      </c>
      <c r="D11" s="1" t="s">
        <v>126</v>
      </c>
      <c r="E11" s="1" t="s">
        <v>115</v>
      </c>
      <c r="F11" s="2">
        <v>45940</v>
      </c>
      <c r="G11" s="1"/>
      <c r="H11" s="1"/>
      <c r="I11" s="1"/>
      <c r="J11" s="1"/>
    </row>
    <row r="12" spans="1:10" x14ac:dyDescent="0.45">
      <c r="A12" s="2" t="s">
        <v>85</v>
      </c>
      <c r="B12" s="3" t="s">
        <v>55</v>
      </c>
      <c r="C12" s="1" t="s">
        <v>36</v>
      </c>
      <c r="D12" s="1" t="s">
        <v>127</v>
      </c>
      <c r="E12" s="1" t="s">
        <v>117</v>
      </c>
      <c r="F12" s="2">
        <v>46027</v>
      </c>
      <c r="G12" s="1"/>
      <c r="H12" s="1"/>
      <c r="I12" s="1"/>
      <c r="J12" s="1"/>
    </row>
    <row r="13" spans="1:10" x14ac:dyDescent="0.45">
      <c r="A13" s="2" t="s">
        <v>87</v>
      </c>
      <c r="B13" s="3" t="s">
        <v>56</v>
      </c>
      <c r="C13" s="1" t="s">
        <v>38</v>
      </c>
      <c r="D13" s="1" t="s">
        <v>128</v>
      </c>
      <c r="E13" s="1" t="s">
        <v>117</v>
      </c>
      <c r="F13" s="2">
        <v>46067</v>
      </c>
      <c r="G13" s="1"/>
      <c r="H13" s="1"/>
      <c r="I13" s="5"/>
      <c r="J13" s="1"/>
    </row>
    <row r="14" spans="1:10" x14ac:dyDescent="0.45">
      <c r="A14" s="2" t="s">
        <v>88</v>
      </c>
      <c r="B14" s="3" t="s">
        <v>57</v>
      </c>
      <c r="C14" s="1" t="s">
        <v>40</v>
      </c>
      <c r="D14" s="1" t="s">
        <v>129</v>
      </c>
      <c r="E14" s="1" t="s">
        <v>119</v>
      </c>
      <c r="F14" s="2">
        <v>46082</v>
      </c>
      <c r="G14" s="1"/>
      <c r="H14" s="1"/>
      <c r="I14" s="1"/>
      <c r="J14" s="1"/>
    </row>
    <row r="15" spans="1:10" x14ac:dyDescent="0.45">
      <c r="A15" s="2" t="s">
        <v>89</v>
      </c>
      <c r="B15" s="3" t="s">
        <v>58</v>
      </c>
      <c r="C15" s="1" t="s">
        <v>42</v>
      </c>
      <c r="D15" s="1" t="s">
        <v>130</v>
      </c>
      <c r="E15" s="1" t="s">
        <v>117</v>
      </c>
      <c r="F15" s="2">
        <v>46123</v>
      </c>
      <c r="G15" s="1"/>
      <c r="H15" s="1"/>
      <c r="I15" s="1"/>
      <c r="J15" s="1"/>
    </row>
    <row r="16" spans="1:10" x14ac:dyDescent="0.45">
      <c r="A16" s="2" t="s">
        <v>91</v>
      </c>
      <c r="B16" s="3" t="s">
        <v>59</v>
      </c>
      <c r="C16" s="1" t="s">
        <v>44</v>
      </c>
      <c r="D16" s="1" t="s">
        <v>131</v>
      </c>
      <c r="E16" s="1" t="s">
        <v>115</v>
      </c>
      <c r="F16" s="2">
        <v>46162</v>
      </c>
      <c r="G16" s="1"/>
      <c r="H16" s="1"/>
      <c r="I16" s="1"/>
      <c r="J16" s="1"/>
    </row>
    <row r="17" spans="1:6" x14ac:dyDescent="0.45">
      <c r="A17" s="1" t="s">
        <v>93</v>
      </c>
      <c r="B17" s="1" t="s">
        <v>60</v>
      </c>
      <c r="C17" s="1" t="s">
        <v>46</v>
      </c>
      <c r="D17" s="1" t="s">
        <v>132</v>
      </c>
      <c r="E17" s="1" t="s">
        <v>119</v>
      </c>
      <c r="F17" s="2">
        <v>46188</v>
      </c>
    </row>
    <row r="18" spans="1:6" x14ac:dyDescent="0.45">
      <c r="A18" s="1" t="s">
        <v>95</v>
      </c>
      <c r="B18" s="1" t="s">
        <v>61</v>
      </c>
      <c r="C18" s="1" t="s">
        <v>48</v>
      </c>
      <c r="D18" s="1" t="s">
        <v>133</v>
      </c>
      <c r="E18" s="1" t="s">
        <v>117</v>
      </c>
      <c r="F18" s="2">
        <v>46210</v>
      </c>
    </row>
    <row r="19" spans="1:6" x14ac:dyDescent="0.45">
      <c r="A19" s="1" t="s">
        <v>97</v>
      </c>
      <c r="B19" s="1" t="s">
        <v>62</v>
      </c>
      <c r="C19" s="1" t="s">
        <v>50</v>
      </c>
      <c r="D19" s="1" t="s">
        <v>134</v>
      </c>
      <c r="E19" s="1" t="s">
        <v>117</v>
      </c>
      <c r="F19" s="2">
        <v>46259</v>
      </c>
    </row>
    <row r="20" spans="1:6" x14ac:dyDescent="0.45">
      <c r="A20" s="1" t="s">
        <v>99</v>
      </c>
      <c r="B20" s="1" t="s">
        <v>63</v>
      </c>
      <c r="C20" s="1" t="s">
        <v>52</v>
      </c>
      <c r="D20" s="1" t="s">
        <v>135</v>
      </c>
      <c r="E20" s="1" t="s">
        <v>115</v>
      </c>
      <c r="F20" s="2">
        <v>46275</v>
      </c>
    </row>
    <row r="21" spans="1:6" x14ac:dyDescent="0.45">
      <c r="A21" s="1" t="s">
        <v>101</v>
      </c>
      <c r="B21" s="1" t="s">
        <v>64</v>
      </c>
      <c r="C21" s="1" t="s">
        <v>54</v>
      </c>
      <c r="D21" s="1" t="s">
        <v>136</v>
      </c>
      <c r="E21" s="1" t="s">
        <v>119</v>
      </c>
      <c r="F21" s="2">
        <v>46296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BCA5-3386-443F-B3FA-FC9D1F4B9592}">
  <dimension ref="A1:N48"/>
  <sheetViews>
    <sheetView topLeftCell="A19" workbookViewId="0">
      <selection activeCell="J2" sqref="J2:J48"/>
    </sheetView>
  </sheetViews>
  <sheetFormatPr defaultRowHeight="17" x14ac:dyDescent="0.45"/>
  <cols>
    <col min="1" max="1" width="10.2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138</v>
      </c>
      <c r="L1" s="1"/>
      <c r="M1" s="1"/>
      <c r="N1" s="1"/>
    </row>
    <row r="2" spans="1:14" x14ac:dyDescent="0.45">
      <c r="A2" s="2">
        <v>46310</v>
      </c>
      <c r="B2" s="3">
        <v>0.42708333333333331</v>
      </c>
      <c r="C2" s="1" t="s">
        <v>65</v>
      </c>
      <c r="D2" s="1" t="s">
        <v>18</v>
      </c>
      <c r="E2" s="1" t="s">
        <v>28</v>
      </c>
      <c r="F2" s="1" t="s">
        <v>15</v>
      </c>
      <c r="G2" s="1" t="s">
        <v>16</v>
      </c>
      <c r="H2" s="1" t="s">
        <v>66</v>
      </c>
      <c r="I2" s="1">
        <v>850000</v>
      </c>
      <c r="J2" s="1">
        <v>0</v>
      </c>
      <c r="K2" s="1" t="str">
        <f>VLOOKUP($C2,customer_master!$A$2:$F$21,1,0)</f>
        <v>C250011</v>
      </c>
      <c r="L2" s="1" t="b">
        <f>IF(OR(G2="예약취소", G2="노쇼"), I2=0, TRUE)</f>
        <v>1</v>
      </c>
      <c r="M2" s="1" t="b">
        <f>IF(OR(G2="예약취소", G2="노쇼"), IF(AND(I2=0, J2=0), TRUE, FALSE), TRUE)</f>
        <v>1</v>
      </c>
      <c r="N2" s="1"/>
    </row>
    <row r="3" spans="1:14" x14ac:dyDescent="0.45">
      <c r="A3" s="2">
        <v>46310</v>
      </c>
      <c r="B3" s="3">
        <v>0.44444444444444442</v>
      </c>
      <c r="C3" s="1" t="s">
        <v>67</v>
      </c>
      <c r="D3" s="1" t="s">
        <v>18</v>
      </c>
      <c r="E3" s="1" t="s">
        <v>25</v>
      </c>
      <c r="F3" s="1" t="s">
        <v>20</v>
      </c>
      <c r="G3" s="1" t="s">
        <v>16</v>
      </c>
      <c r="H3" s="1" t="s">
        <v>68</v>
      </c>
      <c r="I3" s="1">
        <v>45000</v>
      </c>
      <c r="J3" s="1">
        <v>0</v>
      </c>
      <c r="K3" s="1" t="str">
        <f>VLOOKUP($C3,customer_master!$A$2:$F$21,1,0)</f>
        <v>C250012</v>
      </c>
      <c r="L3" s="1" t="b">
        <f t="shared" ref="L3:L48" si="0">IF(OR(G3="예약취소", G3="노쇼"), I3=0, TRUE)</f>
        <v>1</v>
      </c>
      <c r="M3" s="1" t="b">
        <f t="shared" ref="M3:M48" si="1">IF(OR(G3="예약취소", G3="노쇼"), IF(AND(I3=0, J3=0), TRUE, FALSE), TRUE)</f>
        <v>1</v>
      </c>
      <c r="N3" s="1"/>
    </row>
    <row r="4" spans="1:14" x14ac:dyDescent="0.45">
      <c r="A4" s="2">
        <v>46310</v>
      </c>
      <c r="B4" s="3">
        <v>0.45833333333333331</v>
      </c>
      <c r="C4" s="1" t="s">
        <v>69</v>
      </c>
      <c r="D4" s="1" t="s">
        <v>13</v>
      </c>
      <c r="E4" s="1" t="s">
        <v>19</v>
      </c>
      <c r="F4" s="1" t="s">
        <v>15</v>
      </c>
      <c r="G4" s="1" t="s">
        <v>23</v>
      </c>
      <c r="H4" s="1" t="s">
        <v>70</v>
      </c>
      <c r="I4" s="1">
        <v>0</v>
      </c>
      <c r="J4" s="1">
        <v>0</v>
      </c>
      <c r="K4" s="1" t="str">
        <f>VLOOKUP($C4,customer_master!$A$2:$F$21,1,0)</f>
        <v>C250013</v>
      </c>
      <c r="L4" s="1" t="b">
        <f t="shared" si="0"/>
        <v>1</v>
      </c>
      <c r="M4" s="1" t="b">
        <f t="shared" si="1"/>
        <v>1</v>
      </c>
      <c r="N4" s="1"/>
    </row>
    <row r="5" spans="1:14" x14ac:dyDescent="0.45">
      <c r="A5" s="2">
        <v>46310</v>
      </c>
      <c r="B5" s="3">
        <v>0.47222222222222221</v>
      </c>
      <c r="C5" s="1" t="s">
        <v>71</v>
      </c>
      <c r="D5" s="1" t="s">
        <v>18</v>
      </c>
      <c r="E5" s="1" t="s">
        <v>22</v>
      </c>
      <c r="F5" s="1" t="s">
        <v>26</v>
      </c>
      <c r="G5" s="1" t="s">
        <v>16</v>
      </c>
      <c r="H5" s="1" t="s">
        <v>72</v>
      </c>
      <c r="I5" s="1">
        <v>1200000</v>
      </c>
      <c r="J5" s="1">
        <v>300000</v>
      </c>
      <c r="K5" s="1" t="str">
        <f>VLOOKUP($C5,customer_master!$A$2:$F$21,1,0)</f>
        <v>C250014</v>
      </c>
      <c r="L5" s="1" t="b">
        <f t="shared" si="0"/>
        <v>1</v>
      </c>
      <c r="M5" s="1" t="b">
        <f t="shared" si="1"/>
        <v>1</v>
      </c>
      <c r="N5" s="1"/>
    </row>
    <row r="6" spans="1:14" x14ac:dyDescent="0.45">
      <c r="A6" s="2">
        <v>46310</v>
      </c>
      <c r="B6" s="3">
        <v>0.5</v>
      </c>
      <c r="C6" s="1" t="s">
        <v>73</v>
      </c>
      <c r="D6" s="1" t="s">
        <v>13</v>
      </c>
      <c r="E6" s="1" t="s">
        <v>14</v>
      </c>
      <c r="F6" s="1" t="s">
        <v>20</v>
      </c>
      <c r="G6" s="1" t="s">
        <v>16</v>
      </c>
      <c r="H6" s="1" t="s">
        <v>74</v>
      </c>
      <c r="I6" s="1">
        <v>290000</v>
      </c>
      <c r="J6" s="1">
        <v>0</v>
      </c>
      <c r="K6" s="1" t="str">
        <f>VLOOKUP($C6,customer_master!$A$2:$F$21,1,0)</f>
        <v>C250015</v>
      </c>
      <c r="L6" s="1" t="b">
        <f t="shared" si="0"/>
        <v>1</v>
      </c>
      <c r="M6" s="1" t="b">
        <f t="shared" si="1"/>
        <v>1</v>
      </c>
      <c r="N6" s="1"/>
    </row>
    <row r="7" spans="1:14" x14ac:dyDescent="0.45">
      <c r="A7" s="2">
        <v>46310</v>
      </c>
      <c r="B7" s="3">
        <v>0.52083333333333337</v>
      </c>
      <c r="C7" s="1" t="s">
        <v>75</v>
      </c>
      <c r="D7" s="1" t="s">
        <v>18</v>
      </c>
      <c r="E7" s="1" t="s">
        <v>25</v>
      </c>
      <c r="F7" s="1" t="s">
        <v>15</v>
      </c>
      <c r="G7" s="1" t="s">
        <v>16</v>
      </c>
      <c r="H7" s="1" t="s">
        <v>76</v>
      </c>
      <c r="I7" s="1">
        <v>39000</v>
      </c>
      <c r="J7" s="1">
        <v>0</v>
      </c>
      <c r="K7" s="1" t="str">
        <f>VLOOKUP($C7,customer_master!$A$2:$F$21,1,0)</f>
        <v>C250016</v>
      </c>
      <c r="L7" s="1" t="b">
        <f t="shared" si="0"/>
        <v>1</v>
      </c>
      <c r="M7" s="1" t="b">
        <f t="shared" si="1"/>
        <v>1</v>
      </c>
      <c r="N7" s="1"/>
    </row>
    <row r="8" spans="1:14" x14ac:dyDescent="0.45">
      <c r="A8" s="2">
        <v>46310</v>
      </c>
      <c r="B8" s="3">
        <v>0.58333333333333337</v>
      </c>
      <c r="C8" s="1" t="s">
        <v>77</v>
      </c>
      <c r="D8" s="1" t="s">
        <v>13</v>
      </c>
      <c r="E8" s="1" t="s">
        <v>78</v>
      </c>
      <c r="F8" s="1" t="s">
        <v>26</v>
      </c>
      <c r="G8" s="1" t="s">
        <v>31</v>
      </c>
      <c r="H8" s="1" t="s">
        <v>79</v>
      </c>
      <c r="I8" s="1">
        <v>0</v>
      </c>
      <c r="J8" s="1">
        <v>0</v>
      </c>
      <c r="K8" s="1" t="str">
        <f>VLOOKUP($C8,customer_master!$A$2:$F$21,1,0)</f>
        <v>C250017</v>
      </c>
      <c r="L8" s="1" t="b">
        <f t="shared" si="0"/>
        <v>1</v>
      </c>
      <c r="M8" s="1" t="b">
        <f t="shared" si="1"/>
        <v>1</v>
      </c>
      <c r="N8" s="1"/>
    </row>
    <row r="9" spans="1:14" x14ac:dyDescent="0.45">
      <c r="A9" s="2">
        <v>46310</v>
      </c>
      <c r="B9" s="3">
        <v>0.59722222222222221</v>
      </c>
      <c r="C9" s="1" t="s">
        <v>80</v>
      </c>
      <c r="D9" s="1" t="s">
        <v>18</v>
      </c>
      <c r="E9" s="1" t="s">
        <v>28</v>
      </c>
      <c r="F9" s="1" t="s">
        <v>20</v>
      </c>
      <c r="G9" s="1" t="s">
        <v>16</v>
      </c>
      <c r="H9" s="1" t="s">
        <v>81</v>
      </c>
      <c r="I9" s="1">
        <v>35000</v>
      </c>
      <c r="J9" s="1">
        <v>0</v>
      </c>
      <c r="K9" s="1" t="str">
        <f>VLOOKUP($C9,customer_master!$A$2:$F$21,1,0)</f>
        <v>C250018</v>
      </c>
      <c r="L9" s="1" t="b">
        <f t="shared" si="0"/>
        <v>1</v>
      </c>
      <c r="M9" s="1" t="b">
        <f t="shared" si="1"/>
        <v>1</v>
      </c>
      <c r="N9" s="1"/>
    </row>
    <row r="10" spans="1:14" x14ac:dyDescent="0.45">
      <c r="A10" s="2">
        <v>46310</v>
      </c>
      <c r="B10" s="3">
        <v>0.63541666666666663</v>
      </c>
      <c r="C10" s="1" t="s">
        <v>83</v>
      </c>
      <c r="D10" s="1" t="s">
        <v>18</v>
      </c>
      <c r="E10" s="1" t="s">
        <v>19</v>
      </c>
      <c r="F10" s="1" t="s">
        <v>26</v>
      </c>
      <c r="G10" s="1" t="s">
        <v>16</v>
      </c>
      <c r="H10" s="1" t="s">
        <v>84</v>
      </c>
      <c r="I10" s="1">
        <v>150000</v>
      </c>
      <c r="J10" s="1">
        <v>0</v>
      </c>
      <c r="K10" s="1" t="str">
        <f>VLOOKUP($C10,customer_master!$A$2:$F$21,1,0)</f>
        <v>C250020</v>
      </c>
      <c r="L10" s="1" t="b">
        <f t="shared" si="0"/>
        <v>1</v>
      </c>
      <c r="M10" s="1" t="b">
        <f t="shared" si="1"/>
        <v>1</v>
      </c>
      <c r="N10" s="1"/>
    </row>
    <row r="11" spans="1:14" x14ac:dyDescent="0.45">
      <c r="A11" s="2">
        <v>46310</v>
      </c>
      <c r="B11" s="3">
        <v>0.65277777777777779</v>
      </c>
      <c r="C11" s="1" t="s">
        <v>85</v>
      </c>
      <c r="D11" s="1" t="s">
        <v>13</v>
      </c>
      <c r="E11" s="1" t="s">
        <v>14</v>
      </c>
      <c r="F11" s="1" t="s">
        <v>15</v>
      </c>
      <c r="G11" s="1" t="s">
        <v>23</v>
      </c>
      <c r="H11" s="1" t="s">
        <v>86</v>
      </c>
      <c r="I11" s="1">
        <v>0</v>
      </c>
      <c r="J11" s="1">
        <v>0</v>
      </c>
      <c r="K11" s="1" t="str">
        <f>VLOOKUP($C11,customer_master!$A$2:$F$21,1,0)</f>
        <v>C260021</v>
      </c>
      <c r="L11" s="1" t="b">
        <f t="shared" si="0"/>
        <v>1</v>
      </c>
      <c r="M11" s="1" t="b">
        <f t="shared" si="1"/>
        <v>1</v>
      </c>
      <c r="N11" s="1"/>
    </row>
    <row r="12" spans="1:14" x14ac:dyDescent="0.45">
      <c r="A12" s="2">
        <v>46310</v>
      </c>
      <c r="B12" s="3">
        <v>0.66666666666666663</v>
      </c>
      <c r="C12" s="1" t="s">
        <v>87</v>
      </c>
      <c r="D12" s="1" t="s">
        <v>18</v>
      </c>
      <c r="E12" s="1" t="s">
        <v>25</v>
      </c>
      <c r="F12" s="1" t="s">
        <v>20</v>
      </c>
      <c r="G12" s="1" t="s">
        <v>31</v>
      </c>
      <c r="H12" s="1" t="s">
        <v>66</v>
      </c>
      <c r="I12" s="4">
        <v>0</v>
      </c>
      <c r="J12" s="1">
        <v>0</v>
      </c>
      <c r="K12" s="1" t="str">
        <f>VLOOKUP($C12,customer_master!$A$2:$F$21,1,0)</f>
        <v>C260022</v>
      </c>
      <c r="L12" s="1" t="b">
        <f t="shared" si="0"/>
        <v>1</v>
      </c>
      <c r="M12" s="1" t="b">
        <f t="shared" si="1"/>
        <v>1</v>
      </c>
      <c r="N12" s="1" t="s">
        <v>108</v>
      </c>
    </row>
    <row r="13" spans="1:14" x14ac:dyDescent="0.45">
      <c r="A13" s="2">
        <v>46310</v>
      </c>
      <c r="B13" s="3">
        <v>0.68055555555555558</v>
      </c>
      <c r="C13" s="1" t="s">
        <v>88</v>
      </c>
      <c r="D13" s="1" t="s">
        <v>13</v>
      </c>
      <c r="E13" s="1" t="s">
        <v>28</v>
      </c>
      <c r="F13" s="1" t="s">
        <v>26</v>
      </c>
      <c r="G13" s="1" t="s">
        <v>16</v>
      </c>
      <c r="H13" s="1" t="s">
        <v>68</v>
      </c>
      <c r="I13" s="1">
        <v>45000</v>
      </c>
      <c r="J13" s="1">
        <v>0</v>
      </c>
      <c r="K13" s="1" t="str">
        <f>VLOOKUP($C13,customer_master!$A$2:$F$21,1,0)</f>
        <v>C260023</v>
      </c>
      <c r="L13" s="1" t="b">
        <f t="shared" si="0"/>
        <v>1</v>
      </c>
      <c r="M13" s="1" t="b">
        <f t="shared" si="1"/>
        <v>1</v>
      </c>
      <c r="N13" s="1"/>
    </row>
    <row r="14" spans="1:14" x14ac:dyDescent="0.45">
      <c r="A14" s="2">
        <v>46310</v>
      </c>
      <c r="B14" s="3">
        <v>0.70833333333333337</v>
      </c>
      <c r="C14" s="1" t="s">
        <v>89</v>
      </c>
      <c r="D14" s="1" t="s">
        <v>18</v>
      </c>
      <c r="E14" s="1" t="s">
        <v>19</v>
      </c>
      <c r="F14" s="1" t="s">
        <v>15</v>
      </c>
      <c r="G14" s="1" t="s">
        <v>16</v>
      </c>
      <c r="H14" s="1" t="s">
        <v>90</v>
      </c>
      <c r="I14" s="1">
        <v>60000</v>
      </c>
      <c r="J14" s="1">
        <v>0</v>
      </c>
      <c r="K14" s="1" t="str">
        <f>VLOOKUP($C14,customer_master!$A$2:$F$21,1,0)</f>
        <v>C260024</v>
      </c>
      <c r="L14" s="1" t="b">
        <f t="shared" si="0"/>
        <v>1</v>
      </c>
      <c r="M14" s="1" t="b">
        <f t="shared" si="1"/>
        <v>1</v>
      </c>
      <c r="N14" s="1"/>
    </row>
    <row r="15" spans="1:14" x14ac:dyDescent="0.45">
      <c r="A15" s="2">
        <v>46310</v>
      </c>
      <c r="B15" s="3">
        <v>0.72916666666666663</v>
      </c>
      <c r="C15" s="1" t="s">
        <v>91</v>
      </c>
      <c r="D15" s="1" t="s">
        <v>13</v>
      </c>
      <c r="E15" s="1" t="s">
        <v>22</v>
      </c>
      <c r="F15" s="1" t="s">
        <v>20</v>
      </c>
      <c r="G15" s="1" t="s">
        <v>16</v>
      </c>
      <c r="H15" s="1" t="s">
        <v>92</v>
      </c>
      <c r="I15" s="1">
        <v>220000</v>
      </c>
      <c r="J15" s="1">
        <v>0</v>
      </c>
      <c r="K15" s="1" t="str">
        <f>VLOOKUP($C15,customer_master!$A$2:$F$21,1,0)</f>
        <v>C260025</v>
      </c>
      <c r="L15" s="1" t="b">
        <f t="shared" si="0"/>
        <v>1</v>
      </c>
      <c r="M15" s="1" t="b">
        <f t="shared" si="1"/>
        <v>1</v>
      </c>
      <c r="N15" s="1"/>
    </row>
    <row r="16" spans="1:14" x14ac:dyDescent="0.45">
      <c r="A16" s="2">
        <v>46310</v>
      </c>
      <c r="B16" s="3">
        <v>0.75</v>
      </c>
      <c r="C16" s="1" t="s">
        <v>93</v>
      </c>
      <c r="D16" s="1" t="s">
        <v>18</v>
      </c>
      <c r="E16" s="1" t="s">
        <v>25</v>
      </c>
      <c r="F16" s="1" t="s">
        <v>26</v>
      </c>
      <c r="G16" s="1" t="s">
        <v>16</v>
      </c>
      <c r="H16" s="1" t="s">
        <v>94</v>
      </c>
      <c r="I16" s="1">
        <v>0</v>
      </c>
      <c r="J16" s="1">
        <v>0</v>
      </c>
      <c r="K16" s="1" t="str">
        <f>VLOOKUP($C16,customer_master!$A$2:$F$21,1,0)</f>
        <v>C260026</v>
      </c>
      <c r="L16" s="1" t="b">
        <f t="shared" si="0"/>
        <v>1</v>
      </c>
      <c r="M16" s="1" t="b">
        <f t="shared" si="1"/>
        <v>1</v>
      </c>
      <c r="N16" s="1"/>
    </row>
    <row r="17" spans="1:14" x14ac:dyDescent="0.45">
      <c r="A17" s="2">
        <v>46311</v>
      </c>
      <c r="B17" s="3">
        <v>0.41666666666666669</v>
      </c>
      <c r="C17" s="1" t="s">
        <v>95</v>
      </c>
      <c r="D17" s="1" t="s">
        <v>13</v>
      </c>
      <c r="E17" s="1" t="s">
        <v>78</v>
      </c>
      <c r="F17" s="1" t="s">
        <v>15</v>
      </c>
      <c r="G17" s="1" t="s">
        <v>16</v>
      </c>
      <c r="H17" s="1" t="s">
        <v>96</v>
      </c>
      <c r="I17" s="1">
        <v>450000</v>
      </c>
      <c r="J17" s="1">
        <v>0</v>
      </c>
      <c r="K17" s="1" t="str">
        <f>VLOOKUP($C17,customer_master!$A$2:$F$21,1,0)</f>
        <v>C260027</v>
      </c>
      <c r="L17" s="1" t="b">
        <f t="shared" si="0"/>
        <v>1</v>
      </c>
      <c r="M17" s="1" t="b">
        <f t="shared" si="1"/>
        <v>1</v>
      </c>
      <c r="N17" s="1"/>
    </row>
    <row r="18" spans="1:14" x14ac:dyDescent="0.45">
      <c r="A18" s="2">
        <v>46311</v>
      </c>
      <c r="B18" s="3">
        <v>0.4375</v>
      </c>
      <c r="C18" s="1" t="s">
        <v>97</v>
      </c>
      <c r="D18" s="1" t="s">
        <v>18</v>
      </c>
      <c r="E18" s="1" t="s">
        <v>14</v>
      </c>
      <c r="F18" s="1" t="s">
        <v>20</v>
      </c>
      <c r="G18" s="1" t="s">
        <v>16</v>
      </c>
      <c r="H18" s="1" t="s">
        <v>98</v>
      </c>
      <c r="I18" s="1">
        <v>120000</v>
      </c>
      <c r="J18" s="1">
        <v>0</v>
      </c>
      <c r="K18" s="1" t="str">
        <f>VLOOKUP($C18,customer_master!$A$2:$F$21,1,0)</f>
        <v>C260028</v>
      </c>
      <c r="L18" s="1" t="b">
        <f t="shared" si="0"/>
        <v>1</v>
      </c>
      <c r="M18" s="1" t="b">
        <f t="shared" si="1"/>
        <v>1</v>
      </c>
      <c r="N18" s="1"/>
    </row>
    <row r="19" spans="1:14" x14ac:dyDescent="0.45">
      <c r="A19" s="2">
        <v>46311</v>
      </c>
      <c r="B19" s="3">
        <v>0.46875</v>
      </c>
      <c r="C19" s="1" t="s">
        <v>99</v>
      </c>
      <c r="D19" s="1" t="s">
        <v>13</v>
      </c>
      <c r="E19" s="1" t="s">
        <v>19</v>
      </c>
      <c r="F19" s="1" t="s">
        <v>26</v>
      </c>
      <c r="G19" s="1" t="s">
        <v>23</v>
      </c>
      <c r="H19" s="1" t="s">
        <v>100</v>
      </c>
      <c r="I19" s="1">
        <v>0</v>
      </c>
      <c r="J19" s="1">
        <v>0</v>
      </c>
      <c r="K19" s="1" t="str">
        <f>VLOOKUP($C19,customer_master!$A$2:$F$21,1,0)</f>
        <v>C260029</v>
      </c>
      <c r="L19" s="1" t="b">
        <f t="shared" si="0"/>
        <v>1</v>
      </c>
      <c r="M19" s="1" t="b">
        <f t="shared" si="1"/>
        <v>1</v>
      </c>
      <c r="N19" s="1"/>
    </row>
    <row r="20" spans="1:14" x14ac:dyDescent="0.45">
      <c r="A20" s="2">
        <v>46311</v>
      </c>
      <c r="B20" s="3">
        <v>0.48958333333333331</v>
      </c>
      <c r="C20" s="1" t="s">
        <v>101</v>
      </c>
      <c r="D20" s="1" t="s">
        <v>18</v>
      </c>
      <c r="E20" s="1" t="s">
        <v>25</v>
      </c>
      <c r="F20" s="1" t="s">
        <v>15</v>
      </c>
      <c r="G20" s="1" t="s">
        <v>16</v>
      </c>
      <c r="H20" s="1" t="s">
        <v>102</v>
      </c>
      <c r="I20" s="1">
        <v>150000</v>
      </c>
      <c r="J20" s="1">
        <v>0</v>
      </c>
      <c r="K20" s="1" t="str">
        <f>VLOOKUP($C20,customer_master!$A$2:$F$21,1,0)</f>
        <v>C260030</v>
      </c>
      <c r="L20" s="1" t="b">
        <f t="shared" si="0"/>
        <v>1</v>
      </c>
      <c r="M20" s="1" t="b">
        <f t="shared" si="1"/>
        <v>1</v>
      </c>
      <c r="N20" s="1"/>
    </row>
    <row r="21" spans="1:14" x14ac:dyDescent="0.45">
      <c r="A21" s="2">
        <v>46311</v>
      </c>
      <c r="B21" s="3">
        <v>0.52083333333333337</v>
      </c>
      <c r="C21" s="1" t="s">
        <v>65</v>
      </c>
      <c r="D21" s="1" t="s">
        <v>13</v>
      </c>
      <c r="E21" s="1" t="s">
        <v>28</v>
      </c>
      <c r="F21" s="1" t="s">
        <v>20</v>
      </c>
      <c r="G21" s="1" t="s">
        <v>16</v>
      </c>
      <c r="H21" s="1" t="s">
        <v>72</v>
      </c>
      <c r="I21" s="1">
        <v>1200000</v>
      </c>
      <c r="J21" s="1">
        <v>0</v>
      </c>
      <c r="K21" s="1" t="str">
        <f>VLOOKUP($C21,customer_master!$A$2:$F$21,1,0)</f>
        <v>C250011</v>
      </c>
      <c r="L21" s="1" t="b">
        <f t="shared" si="0"/>
        <v>1</v>
      </c>
      <c r="M21" s="1" t="b">
        <f t="shared" si="1"/>
        <v>1</v>
      </c>
      <c r="N21" s="1"/>
    </row>
    <row r="22" spans="1:14" x14ac:dyDescent="0.45">
      <c r="A22" s="2">
        <v>46311</v>
      </c>
      <c r="B22" s="3">
        <v>0.58333333333333337</v>
      </c>
      <c r="C22" s="1" t="s">
        <v>67</v>
      </c>
      <c r="D22" s="1" t="s">
        <v>18</v>
      </c>
      <c r="E22" s="1" t="s">
        <v>22</v>
      </c>
      <c r="F22" s="1" t="s">
        <v>26</v>
      </c>
      <c r="G22" s="1" t="s">
        <v>31</v>
      </c>
      <c r="H22" s="1" t="s">
        <v>103</v>
      </c>
      <c r="I22" s="1">
        <v>0</v>
      </c>
      <c r="J22" s="1">
        <v>0</v>
      </c>
      <c r="K22" s="1" t="str">
        <f>VLOOKUP($C22,customer_master!$A$2:$F$21,1,0)</f>
        <v>C250012</v>
      </c>
      <c r="L22" s="1" t="b">
        <f t="shared" si="0"/>
        <v>1</v>
      </c>
      <c r="M22" s="1" t="b">
        <f t="shared" si="1"/>
        <v>1</v>
      </c>
      <c r="N22" s="1"/>
    </row>
    <row r="23" spans="1:14" x14ac:dyDescent="0.45">
      <c r="A23" s="2">
        <v>46311</v>
      </c>
      <c r="B23" s="3">
        <v>0.61111111111111116</v>
      </c>
      <c r="C23" s="1" t="s">
        <v>69</v>
      </c>
      <c r="D23" s="1" t="s">
        <v>13</v>
      </c>
      <c r="E23" s="1" t="s">
        <v>14</v>
      </c>
      <c r="F23" s="1" t="s">
        <v>15</v>
      </c>
      <c r="G23" s="1" t="s">
        <v>16</v>
      </c>
      <c r="H23" s="1" t="s">
        <v>66</v>
      </c>
      <c r="I23" s="1">
        <v>850000</v>
      </c>
      <c r="J23" s="1">
        <v>50000</v>
      </c>
      <c r="K23" s="1" t="str">
        <f>VLOOKUP($C23,customer_master!$A$2:$F$21,1,0)</f>
        <v>C250013</v>
      </c>
      <c r="L23" s="1" t="b">
        <f t="shared" si="0"/>
        <v>1</v>
      </c>
      <c r="M23" s="1" t="b">
        <f t="shared" si="1"/>
        <v>1</v>
      </c>
      <c r="N23" s="1"/>
    </row>
    <row r="24" spans="1:14" x14ac:dyDescent="0.45">
      <c r="A24" s="2">
        <v>46311</v>
      </c>
      <c r="B24" s="3">
        <v>0.625</v>
      </c>
      <c r="C24" s="1" t="s">
        <v>71</v>
      </c>
      <c r="D24" s="1" t="s">
        <v>18</v>
      </c>
      <c r="E24" s="1" t="s">
        <v>19</v>
      </c>
      <c r="F24" s="1" t="s">
        <v>20</v>
      </c>
      <c r="G24" s="1" t="s">
        <v>16</v>
      </c>
      <c r="H24" s="1" t="s">
        <v>68</v>
      </c>
      <c r="I24" s="1">
        <v>45000</v>
      </c>
      <c r="J24" s="1">
        <v>0</v>
      </c>
      <c r="K24" s="1" t="str">
        <f>VLOOKUP($C24,customer_master!$A$2:$F$21,1,0)</f>
        <v>C250014</v>
      </c>
      <c r="L24" s="1" t="b">
        <f t="shared" si="0"/>
        <v>1</v>
      </c>
      <c r="M24" s="1" t="b">
        <f t="shared" si="1"/>
        <v>1</v>
      </c>
      <c r="N24" s="1"/>
    </row>
    <row r="25" spans="1:14" x14ac:dyDescent="0.45">
      <c r="A25" s="2">
        <v>46311</v>
      </c>
      <c r="B25" s="3">
        <v>0.63888888888888884</v>
      </c>
      <c r="C25" s="1" t="s">
        <v>73</v>
      </c>
      <c r="D25" s="1" t="s">
        <v>13</v>
      </c>
      <c r="E25" s="1" t="s">
        <v>78</v>
      </c>
      <c r="F25" s="1" t="s">
        <v>26</v>
      </c>
      <c r="G25" s="1" t="s">
        <v>16</v>
      </c>
      <c r="H25" s="1" t="s">
        <v>70</v>
      </c>
      <c r="I25" s="1">
        <v>200000</v>
      </c>
      <c r="J25" s="4">
        <v>0</v>
      </c>
      <c r="K25" s="1" t="str">
        <f>VLOOKUP($C25,customer_master!$A$2:$F$21,1,0)</f>
        <v>C250015</v>
      </c>
      <c r="L25" s="1" t="b">
        <f t="shared" si="0"/>
        <v>1</v>
      </c>
      <c r="M25" s="1" t="b">
        <f t="shared" si="1"/>
        <v>1</v>
      </c>
      <c r="N25" s="1" t="s">
        <v>110</v>
      </c>
    </row>
    <row r="26" spans="1:14" x14ac:dyDescent="0.45">
      <c r="A26" s="2">
        <v>46311</v>
      </c>
      <c r="B26" s="3">
        <v>0.66666666666666663</v>
      </c>
      <c r="C26" s="1" t="s">
        <v>75</v>
      </c>
      <c r="D26" s="1" t="s">
        <v>18</v>
      </c>
      <c r="E26" s="1" t="s">
        <v>28</v>
      </c>
      <c r="F26" s="1" t="s">
        <v>15</v>
      </c>
      <c r="G26" s="1" t="s">
        <v>16</v>
      </c>
      <c r="H26" s="1" t="s">
        <v>104</v>
      </c>
      <c r="I26" s="1">
        <v>120000</v>
      </c>
      <c r="J26" s="1">
        <v>0</v>
      </c>
      <c r="K26" s="1" t="str">
        <f>VLOOKUP($C26,customer_master!$A$2:$F$21,1,0)</f>
        <v>C250016</v>
      </c>
      <c r="L26" s="1" t="b">
        <f t="shared" si="0"/>
        <v>1</v>
      </c>
      <c r="M26" s="1" t="b">
        <f t="shared" si="1"/>
        <v>1</v>
      </c>
      <c r="N26" s="1"/>
    </row>
    <row r="27" spans="1:14" x14ac:dyDescent="0.45">
      <c r="A27" s="2">
        <v>46311</v>
      </c>
      <c r="B27" s="3">
        <v>0.6875</v>
      </c>
      <c r="C27" s="1" t="s">
        <v>77</v>
      </c>
      <c r="D27" s="1" t="s">
        <v>13</v>
      </c>
      <c r="E27" s="1" t="s">
        <v>25</v>
      </c>
      <c r="F27" s="1" t="s">
        <v>20</v>
      </c>
      <c r="G27" s="1" t="s">
        <v>31</v>
      </c>
      <c r="H27" s="1" t="s">
        <v>74</v>
      </c>
      <c r="I27" s="1">
        <v>0</v>
      </c>
      <c r="J27" s="4">
        <v>0</v>
      </c>
      <c r="K27" s="1" t="str">
        <f>VLOOKUP($C27,customer_master!$A$2:$F$21,1,0)</f>
        <v>C250017</v>
      </c>
      <c r="L27" s="1" t="b">
        <f t="shared" si="0"/>
        <v>1</v>
      </c>
      <c r="M27" s="1" t="b">
        <f t="shared" si="1"/>
        <v>1</v>
      </c>
      <c r="N27" s="1" t="s">
        <v>137</v>
      </c>
    </row>
    <row r="28" spans="1:14" x14ac:dyDescent="0.45">
      <c r="A28" s="2">
        <v>46311</v>
      </c>
      <c r="B28" s="3">
        <v>0.70833333333333337</v>
      </c>
      <c r="C28" s="1" t="s">
        <v>80</v>
      </c>
      <c r="D28" s="1" t="s">
        <v>18</v>
      </c>
      <c r="E28" s="1" t="s">
        <v>14</v>
      </c>
      <c r="F28" s="1" t="s">
        <v>26</v>
      </c>
      <c r="G28" s="1" t="s">
        <v>23</v>
      </c>
      <c r="H28" s="1" t="s">
        <v>76</v>
      </c>
      <c r="I28" s="1">
        <v>0</v>
      </c>
      <c r="J28" s="1">
        <v>0</v>
      </c>
      <c r="K28" s="1" t="str">
        <f>VLOOKUP($C28,customer_master!$A$2:$F$21,1,0)</f>
        <v>C250018</v>
      </c>
      <c r="L28" s="1" t="b">
        <f t="shared" si="0"/>
        <v>1</v>
      </c>
      <c r="M28" s="1" t="b">
        <f t="shared" si="1"/>
        <v>1</v>
      </c>
      <c r="N28" s="1"/>
    </row>
    <row r="29" spans="1:14" x14ac:dyDescent="0.45">
      <c r="A29" s="2">
        <v>46311</v>
      </c>
      <c r="B29" s="3">
        <v>0.73611111111111116</v>
      </c>
      <c r="C29" s="1" t="s">
        <v>105</v>
      </c>
      <c r="D29" s="1" t="s">
        <v>13</v>
      </c>
      <c r="E29" s="1" t="s">
        <v>19</v>
      </c>
      <c r="F29" s="1" t="s">
        <v>15</v>
      </c>
      <c r="G29" s="1" t="s">
        <v>16</v>
      </c>
      <c r="H29" s="1" t="s">
        <v>98</v>
      </c>
      <c r="I29" s="1">
        <v>120000</v>
      </c>
      <c r="J29" s="1">
        <v>0</v>
      </c>
      <c r="K29" s="1" t="str">
        <f>VLOOKUP($C29,customer_master!$A$2:$F$21,1,0)</f>
        <v>C250019</v>
      </c>
      <c r="L29" s="1" t="b">
        <f t="shared" si="0"/>
        <v>1</v>
      </c>
      <c r="M29" s="1" t="b">
        <f t="shared" si="1"/>
        <v>1</v>
      </c>
      <c r="N29" s="1"/>
    </row>
    <row r="30" spans="1:14" x14ac:dyDescent="0.45">
      <c r="A30" s="2">
        <v>46312</v>
      </c>
      <c r="B30" s="3">
        <v>0.41666666666666669</v>
      </c>
      <c r="C30" s="1" t="s">
        <v>83</v>
      </c>
      <c r="D30" s="1" t="s">
        <v>18</v>
      </c>
      <c r="E30" s="1" t="s">
        <v>22</v>
      </c>
      <c r="F30" s="1" t="s">
        <v>20</v>
      </c>
      <c r="G30" s="1" t="s">
        <v>16</v>
      </c>
      <c r="H30" s="1" t="s">
        <v>81</v>
      </c>
      <c r="I30" s="1">
        <v>35000</v>
      </c>
      <c r="J30" s="1">
        <v>0</v>
      </c>
      <c r="K30" s="1" t="str">
        <f>VLOOKUP($C30,customer_master!$A$2:$F$21,1,0)</f>
        <v>C250020</v>
      </c>
      <c r="L30" s="1" t="b">
        <f t="shared" si="0"/>
        <v>1</v>
      </c>
      <c r="M30" s="1" t="b">
        <f t="shared" si="1"/>
        <v>1</v>
      </c>
      <c r="N30" s="1"/>
    </row>
    <row r="31" spans="1:14" x14ac:dyDescent="0.45">
      <c r="A31" s="2">
        <v>46312</v>
      </c>
      <c r="B31" s="3">
        <v>0.42708333333333331</v>
      </c>
      <c r="C31" s="1" t="s">
        <v>85</v>
      </c>
      <c r="D31" s="1" t="s">
        <v>13</v>
      </c>
      <c r="E31" s="1" t="s">
        <v>28</v>
      </c>
      <c r="F31" s="1" t="s">
        <v>26</v>
      </c>
      <c r="G31" s="1" t="s">
        <v>16</v>
      </c>
      <c r="H31" s="1" t="s">
        <v>82</v>
      </c>
      <c r="I31" s="1">
        <v>180000</v>
      </c>
      <c r="J31" s="1">
        <v>50000</v>
      </c>
      <c r="K31" s="1" t="str">
        <f>VLOOKUP($C31,customer_master!$A$2:$F$21,1,0)</f>
        <v>C260021</v>
      </c>
      <c r="L31" s="1" t="b">
        <f t="shared" si="0"/>
        <v>1</v>
      </c>
      <c r="M31" s="1" t="b">
        <f t="shared" si="1"/>
        <v>1</v>
      </c>
      <c r="N31" s="1"/>
    </row>
    <row r="32" spans="1:14" x14ac:dyDescent="0.45">
      <c r="A32" s="2">
        <v>46312</v>
      </c>
      <c r="B32" s="3">
        <v>0.45833333333333331</v>
      </c>
      <c r="C32" s="1" t="s">
        <v>87</v>
      </c>
      <c r="D32" s="1" t="s">
        <v>18</v>
      </c>
      <c r="E32" s="1" t="s">
        <v>25</v>
      </c>
      <c r="F32" s="1" t="s">
        <v>15</v>
      </c>
      <c r="G32" s="1" t="s">
        <v>16</v>
      </c>
      <c r="H32" s="1" t="s">
        <v>106</v>
      </c>
      <c r="I32" s="1">
        <v>2200000</v>
      </c>
      <c r="J32" s="1">
        <v>0</v>
      </c>
      <c r="K32" s="1" t="str">
        <f>VLOOKUP($C32,customer_master!$A$2:$F$21,1,0)</f>
        <v>C260022</v>
      </c>
      <c r="L32" s="1" t="b">
        <f t="shared" si="0"/>
        <v>1</v>
      </c>
      <c r="M32" s="1" t="b">
        <f t="shared" si="1"/>
        <v>1</v>
      </c>
      <c r="N32" s="1"/>
    </row>
    <row r="33" spans="1:14" x14ac:dyDescent="0.45">
      <c r="A33" s="2">
        <v>46312</v>
      </c>
      <c r="B33" s="3">
        <v>0.47916666666666669</v>
      </c>
      <c r="C33" s="1" t="s">
        <v>88</v>
      </c>
      <c r="D33" s="1" t="s">
        <v>13</v>
      </c>
      <c r="E33" s="1" t="s">
        <v>14</v>
      </c>
      <c r="F33" s="1" t="s">
        <v>20</v>
      </c>
      <c r="G33" s="1" t="s">
        <v>31</v>
      </c>
      <c r="H33" s="1" t="s">
        <v>79</v>
      </c>
      <c r="I33" s="1">
        <v>0</v>
      </c>
      <c r="J33" s="1">
        <v>0</v>
      </c>
      <c r="K33" s="1" t="str">
        <f>VLOOKUP($C33,customer_master!$A$2:$F$21,1,0)</f>
        <v>C260023</v>
      </c>
      <c r="L33" s="1" t="b">
        <f t="shared" si="0"/>
        <v>1</v>
      </c>
      <c r="M33" s="1" t="b">
        <f t="shared" si="1"/>
        <v>1</v>
      </c>
      <c r="N33" s="1"/>
    </row>
    <row r="34" spans="1:14" x14ac:dyDescent="0.45">
      <c r="A34" s="2">
        <v>46312</v>
      </c>
      <c r="B34" s="3">
        <v>0.5</v>
      </c>
      <c r="C34" s="1" t="s">
        <v>89</v>
      </c>
      <c r="D34" s="1" t="s">
        <v>18</v>
      </c>
      <c r="E34" s="1" t="s">
        <v>19</v>
      </c>
      <c r="F34" s="1" t="s">
        <v>26</v>
      </c>
      <c r="G34" s="1" t="s">
        <v>16</v>
      </c>
      <c r="H34" s="1" t="s">
        <v>107</v>
      </c>
      <c r="I34" s="1">
        <v>80000</v>
      </c>
      <c r="J34" s="1">
        <v>0</v>
      </c>
      <c r="K34" s="1" t="str">
        <f>VLOOKUP($C34,customer_master!$A$2:$F$21,1,0)</f>
        <v>C260024</v>
      </c>
      <c r="L34" s="1" t="b">
        <f t="shared" si="0"/>
        <v>1</v>
      </c>
      <c r="M34" s="1" t="b">
        <f t="shared" si="1"/>
        <v>1</v>
      </c>
      <c r="N34" s="1"/>
    </row>
    <row r="35" spans="1:14" x14ac:dyDescent="0.45">
      <c r="A35" s="2">
        <v>46312</v>
      </c>
      <c r="B35" s="3">
        <v>0.54166666666666663</v>
      </c>
      <c r="C35" s="1" t="s">
        <v>91</v>
      </c>
      <c r="D35" s="1" t="s">
        <v>13</v>
      </c>
      <c r="E35" s="1" t="s">
        <v>78</v>
      </c>
      <c r="F35" s="1" t="s">
        <v>15</v>
      </c>
      <c r="G35" s="1" t="s">
        <v>23</v>
      </c>
      <c r="H35" s="1" t="s">
        <v>66</v>
      </c>
      <c r="I35" s="1">
        <v>0</v>
      </c>
      <c r="J35" s="1">
        <v>0</v>
      </c>
      <c r="K35" s="1" t="str">
        <f>VLOOKUP($C35,customer_master!$A$2:$F$21,1,0)</f>
        <v>C260025</v>
      </c>
      <c r="L35" s="1" t="b">
        <f t="shared" si="0"/>
        <v>1</v>
      </c>
      <c r="M35" s="1" t="b">
        <f t="shared" si="1"/>
        <v>1</v>
      </c>
      <c r="N35" s="1"/>
    </row>
    <row r="36" spans="1:14" x14ac:dyDescent="0.45">
      <c r="A36" s="2">
        <v>46312</v>
      </c>
      <c r="B36" s="3">
        <v>0.5625</v>
      </c>
      <c r="C36" s="1" t="s">
        <v>93</v>
      </c>
      <c r="D36" s="1" t="s">
        <v>18</v>
      </c>
      <c r="E36" s="1" t="s">
        <v>28</v>
      </c>
      <c r="F36" s="1" t="s">
        <v>20</v>
      </c>
      <c r="G36" s="1" t="s">
        <v>16</v>
      </c>
      <c r="H36" s="1" t="s">
        <v>68</v>
      </c>
      <c r="I36" s="1">
        <v>45000</v>
      </c>
      <c r="J36" s="1">
        <v>0</v>
      </c>
      <c r="K36" s="1" t="str">
        <f>VLOOKUP($C36,customer_master!$A$2:$F$21,1,0)</f>
        <v>C260026</v>
      </c>
      <c r="L36" s="1" t="b">
        <f t="shared" si="0"/>
        <v>1</v>
      </c>
      <c r="M36" s="1" t="b">
        <f t="shared" si="1"/>
        <v>1</v>
      </c>
      <c r="N36" s="1"/>
    </row>
    <row r="37" spans="1:14" x14ac:dyDescent="0.45">
      <c r="A37" s="2">
        <v>46312</v>
      </c>
      <c r="B37" s="3">
        <v>0.58333333333333337</v>
      </c>
      <c r="C37" s="1" t="s">
        <v>95</v>
      </c>
      <c r="D37" s="1" t="s">
        <v>13</v>
      </c>
      <c r="E37" s="1" t="s">
        <v>25</v>
      </c>
      <c r="F37" s="1" t="s">
        <v>26</v>
      </c>
      <c r="G37" s="1" t="s">
        <v>16</v>
      </c>
      <c r="H37" s="1" t="s">
        <v>92</v>
      </c>
      <c r="I37" s="1">
        <v>220000</v>
      </c>
      <c r="J37" s="1">
        <v>0</v>
      </c>
      <c r="K37" s="1" t="str">
        <f>VLOOKUP($C37,customer_master!$A$2:$F$21,1,0)</f>
        <v>C260027</v>
      </c>
      <c r="L37" s="1" t="b">
        <f t="shared" si="0"/>
        <v>1</v>
      </c>
      <c r="M37" s="1" t="b">
        <f t="shared" si="1"/>
        <v>1</v>
      </c>
      <c r="N37" s="1"/>
    </row>
    <row r="38" spans="1:14" x14ac:dyDescent="0.45">
      <c r="A38" s="2">
        <v>46312</v>
      </c>
      <c r="B38" s="3">
        <v>0.61458333333333337</v>
      </c>
      <c r="C38" s="1" t="s">
        <v>97</v>
      </c>
      <c r="D38" s="1" t="s">
        <v>18</v>
      </c>
      <c r="E38" s="1" t="s">
        <v>22</v>
      </c>
      <c r="F38" s="1" t="s">
        <v>15</v>
      </c>
      <c r="G38" s="1" t="s">
        <v>16</v>
      </c>
      <c r="H38" s="1" t="s">
        <v>94</v>
      </c>
      <c r="I38" s="1">
        <v>2500000</v>
      </c>
      <c r="J38" s="1">
        <v>500000</v>
      </c>
      <c r="K38" s="1" t="str">
        <f>VLOOKUP($C38,customer_master!$A$2:$F$21,1,0)</f>
        <v>C260028</v>
      </c>
      <c r="L38" s="1" t="b">
        <f t="shared" si="0"/>
        <v>1</v>
      </c>
      <c r="M38" s="1" t="b">
        <f t="shared" si="1"/>
        <v>1</v>
      </c>
      <c r="N38" s="1"/>
    </row>
    <row r="39" spans="1:14" x14ac:dyDescent="0.45">
      <c r="A39" s="2">
        <v>46312</v>
      </c>
      <c r="B39" s="3">
        <v>0.63541666666666663</v>
      </c>
      <c r="C39" s="1" t="s">
        <v>99</v>
      </c>
      <c r="D39" s="1" t="s">
        <v>13</v>
      </c>
      <c r="E39" s="1" t="s">
        <v>19</v>
      </c>
      <c r="F39" s="1" t="s">
        <v>20</v>
      </c>
      <c r="G39" s="1" t="s">
        <v>16</v>
      </c>
      <c r="H39" s="1" t="s">
        <v>96</v>
      </c>
      <c r="I39" s="1">
        <v>450000</v>
      </c>
      <c r="J39" s="1">
        <v>0</v>
      </c>
      <c r="K39" s="1" t="str">
        <f>VLOOKUP($C39,customer_master!$A$2:$F$21,1,0)</f>
        <v>C260029</v>
      </c>
      <c r="L39" s="1" t="b">
        <f t="shared" si="0"/>
        <v>1</v>
      </c>
      <c r="M39" s="1" t="b">
        <f t="shared" si="1"/>
        <v>1</v>
      </c>
      <c r="N39" s="1"/>
    </row>
    <row r="40" spans="1:14" x14ac:dyDescent="0.45">
      <c r="A40" s="2">
        <v>46312</v>
      </c>
      <c r="B40" s="3">
        <v>0.66666666666666663</v>
      </c>
      <c r="C40" s="1" t="s">
        <v>65</v>
      </c>
      <c r="D40" s="1" t="s">
        <v>13</v>
      </c>
      <c r="E40" s="1" t="s">
        <v>28</v>
      </c>
      <c r="F40" s="1" t="s">
        <v>15</v>
      </c>
      <c r="G40" s="1" t="s">
        <v>16</v>
      </c>
      <c r="H40" s="1" t="s">
        <v>98</v>
      </c>
      <c r="I40" s="1">
        <v>120000</v>
      </c>
      <c r="J40" s="1">
        <v>0</v>
      </c>
      <c r="K40" s="1" t="str">
        <f>VLOOKUP($C40,customer_master!$A$2:$F$21,1,0)</f>
        <v>C250011</v>
      </c>
      <c r="L40" s="1" t="b">
        <f t="shared" si="0"/>
        <v>1</v>
      </c>
      <c r="M40" s="1" t="b">
        <f t="shared" si="1"/>
        <v>1</v>
      </c>
      <c r="N40" s="1"/>
    </row>
    <row r="41" spans="1:14" x14ac:dyDescent="0.45">
      <c r="A41" s="2">
        <v>46312</v>
      </c>
      <c r="B41" s="3">
        <v>0.6875</v>
      </c>
      <c r="C41" s="1" t="s">
        <v>67</v>
      </c>
      <c r="D41" s="1" t="s">
        <v>18</v>
      </c>
      <c r="E41" s="1" t="s">
        <v>25</v>
      </c>
      <c r="F41" s="1" t="s">
        <v>20</v>
      </c>
      <c r="G41" s="1" t="s">
        <v>23</v>
      </c>
      <c r="H41" s="1" t="s">
        <v>81</v>
      </c>
      <c r="I41" s="4">
        <v>0</v>
      </c>
      <c r="J41" s="1">
        <v>0</v>
      </c>
      <c r="K41" s="1" t="str">
        <f>VLOOKUP($C41,customer_master!$A$2:$F$21,1,0)</f>
        <v>C250012</v>
      </c>
      <c r="L41" s="1" t="b">
        <f t="shared" si="0"/>
        <v>1</v>
      </c>
      <c r="M41" s="1" t="b">
        <f t="shared" si="1"/>
        <v>1</v>
      </c>
      <c r="N41" s="1" t="s">
        <v>109</v>
      </c>
    </row>
    <row r="42" spans="1:14" x14ac:dyDescent="0.45">
      <c r="A42" s="2">
        <v>46312</v>
      </c>
      <c r="B42" s="3">
        <v>0.70833333333333337</v>
      </c>
      <c r="C42" s="1" t="s">
        <v>69</v>
      </c>
      <c r="D42" s="1" t="s">
        <v>13</v>
      </c>
      <c r="E42" s="1" t="s">
        <v>78</v>
      </c>
      <c r="F42" s="1" t="s">
        <v>26</v>
      </c>
      <c r="G42" s="1" t="s">
        <v>16</v>
      </c>
      <c r="H42" s="1" t="s">
        <v>70</v>
      </c>
      <c r="I42" s="1">
        <v>200000</v>
      </c>
      <c r="J42" s="1">
        <v>0</v>
      </c>
      <c r="K42" s="1" t="str">
        <f>VLOOKUP($C42,customer_master!$A$2:$F$21,1,0)</f>
        <v>C250013</v>
      </c>
      <c r="L42" s="1" t="b">
        <f t="shared" si="0"/>
        <v>1</v>
      </c>
      <c r="M42" s="1" t="b">
        <f t="shared" si="1"/>
        <v>1</v>
      </c>
      <c r="N42" s="1"/>
    </row>
    <row r="43" spans="1:14" x14ac:dyDescent="0.45">
      <c r="A43" s="2">
        <v>46312</v>
      </c>
      <c r="B43" s="3">
        <v>0.72222222222222221</v>
      </c>
      <c r="C43" s="1" t="s">
        <v>71</v>
      </c>
      <c r="D43" s="1" t="s">
        <v>18</v>
      </c>
      <c r="E43" s="1" t="s">
        <v>19</v>
      </c>
      <c r="F43" s="1" t="s">
        <v>15</v>
      </c>
      <c r="G43" s="1" t="s">
        <v>16</v>
      </c>
      <c r="H43" s="1" t="s">
        <v>72</v>
      </c>
      <c r="I43" s="1">
        <v>1200000</v>
      </c>
      <c r="J43" s="1">
        <v>0</v>
      </c>
      <c r="K43" s="1" t="str">
        <f>VLOOKUP($C43,customer_master!$A$2:$F$21,1,0)</f>
        <v>C250014</v>
      </c>
      <c r="L43" s="1" t="b">
        <f t="shared" si="0"/>
        <v>1</v>
      </c>
      <c r="M43" s="1" t="b">
        <f t="shared" si="1"/>
        <v>1</v>
      </c>
      <c r="N43" s="1"/>
    </row>
    <row r="44" spans="1:14" x14ac:dyDescent="0.45">
      <c r="A44" s="2">
        <v>46312</v>
      </c>
      <c r="B44" s="3">
        <v>0.74305555555555558</v>
      </c>
      <c r="C44" s="1" t="s">
        <v>73</v>
      </c>
      <c r="D44" s="1" t="s">
        <v>13</v>
      </c>
      <c r="E44" s="1" t="s">
        <v>22</v>
      </c>
      <c r="F44" s="1" t="s">
        <v>20</v>
      </c>
      <c r="G44" s="1" t="s">
        <v>16</v>
      </c>
      <c r="H44" s="1" t="s">
        <v>74</v>
      </c>
      <c r="I44" s="1">
        <v>290000</v>
      </c>
      <c r="J44" s="1">
        <v>0</v>
      </c>
      <c r="K44" s="1" t="str">
        <f>VLOOKUP($C44,customer_master!$A$2:$F$21,1,0)</f>
        <v>C250015</v>
      </c>
      <c r="L44" s="1" t="b">
        <f t="shared" si="0"/>
        <v>1</v>
      </c>
      <c r="M44" s="1" t="b">
        <f t="shared" si="1"/>
        <v>1</v>
      </c>
      <c r="N44" s="1"/>
    </row>
    <row r="45" spans="1:14" x14ac:dyDescent="0.45">
      <c r="A45" s="2">
        <v>46313</v>
      </c>
      <c r="B45" s="3">
        <v>0.41666666666666669</v>
      </c>
      <c r="C45" s="1" t="s">
        <v>75</v>
      </c>
      <c r="D45" s="1" t="s">
        <v>18</v>
      </c>
      <c r="E45" s="1" t="s">
        <v>14</v>
      </c>
      <c r="F45" s="1" t="s">
        <v>26</v>
      </c>
      <c r="G45" s="1" t="s">
        <v>31</v>
      </c>
      <c r="H45" s="1" t="s">
        <v>84</v>
      </c>
      <c r="I45" s="4">
        <v>0</v>
      </c>
      <c r="J45" s="1">
        <v>0</v>
      </c>
      <c r="K45" s="1" t="str">
        <f>VLOOKUP($C45,customer_master!$A$2:$F$21,1,0)</f>
        <v>C250016</v>
      </c>
      <c r="L45" s="1" t="b">
        <f t="shared" si="0"/>
        <v>1</v>
      </c>
      <c r="M45" s="1" t="b">
        <f t="shared" si="1"/>
        <v>1</v>
      </c>
      <c r="N45" s="1" t="s">
        <v>108</v>
      </c>
    </row>
    <row r="46" spans="1:14" x14ac:dyDescent="0.45">
      <c r="A46" s="2">
        <v>46313</v>
      </c>
      <c r="B46" s="3">
        <v>0.4375</v>
      </c>
      <c r="C46" s="1" t="s">
        <v>77</v>
      </c>
      <c r="D46" s="1" t="s">
        <v>13</v>
      </c>
      <c r="E46" s="1" t="s">
        <v>28</v>
      </c>
      <c r="F46" s="1" t="s">
        <v>15</v>
      </c>
      <c r="G46" s="1" t="s">
        <v>16</v>
      </c>
      <c r="H46" s="1" t="s">
        <v>86</v>
      </c>
      <c r="I46" s="1">
        <v>50000</v>
      </c>
      <c r="J46" s="1">
        <v>0</v>
      </c>
      <c r="K46" s="1" t="str">
        <f>VLOOKUP($C46,customer_master!$A$2:$F$21,1,0)</f>
        <v>C250017</v>
      </c>
      <c r="L46" s="1" t="b">
        <f t="shared" si="0"/>
        <v>1</v>
      </c>
      <c r="M46" s="1" t="b">
        <f t="shared" si="1"/>
        <v>1</v>
      </c>
      <c r="N46" s="1"/>
    </row>
    <row r="47" spans="1:14" x14ac:dyDescent="0.45">
      <c r="A47" s="2">
        <v>46313</v>
      </c>
      <c r="B47" s="3">
        <v>0.46527777777777779</v>
      </c>
      <c r="C47" s="1" t="s">
        <v>80</v>
      </c>
      <c r="D47" s="1" t="s">
        <v>18</v>
      </c>
      <c r="E47" s="1" t="s">
        <v>25</v>
      </c>
      <c r="F47" s="1" t="s">
        <v>20</v>
      </c>
      <c r="G47" s="1" t="s">
        <v>16</v>
      </c>
      <c r="H47" s="1" t="s">
        <v>68</v>
      </c>
      <c r="I47" s="1">
        <v>45000</v>
      </c>
      <c r="J47" s="1">
        <v>0</v>
      </c>
      <c r="K47" s="1" t="str">
        <f>VLOOKUP($C47,customer_master!$A$2:$F$21,1,0)</f>
        <v>C250018</v>
      </c>
      <c r="L47" s="1" t="b">
        <f t="shared" si="0"/>
        <v>1</v>
      </c>
      <c r="M47" s="1" t="b">
        <f t="shared" si="1"/>
        <v>1</v>
      </c>
      <c r="N47" s="1"/>
    </row>
    <row r="48" spans="1:14" x14ac:dyDescent="0.45">
      <c r="A48" s="2">
        <v>46313</v>
      </c>
      <c r="B48" s="3">
        <v>0.5</v>
      </c>
      <c r="C48" s="1" t="s">
        <v>83</v>
      </c>
      <c r="D48" s="1" t="s">
        <v>18</v>
      </c>
      <c r="E48" s="1" t="s">
        <v>22</v>
      </c>
      <c r="F48" s="1" t="s">
        <v>15</v>
      </c>
      <c r="G48" s="1" t="s">
        <v>23</v>
      </c>
      <c r="H48" s="1" t="s">
        <v>94</v>
      </c>
      <c r="I48" s="1">
        <v>0</v>
      </c>
      <c r="J48" s="4">
        <v>0</v>
      </c>
      <c r="K48" s="1" t="str">
        <f>VLOOKUP($C48,customer_master!$A$2:$F$21,1,0)</f>
        <v>C250020</v>
      </c>
      <c r="L48" s="1" t="b">
        <f t="shared" si="0"/>
        <v>1</v>
      </c>
      <c r="M48" s="1" t="b">
        <f t="shared" si="1"/>
        <v>1</v>
      </c>
      <c r="N48" s="1" t="s">
        <v>137</v>
      </c>
    </row>
  </sheetData>
  <autoFilter ref="A1:N48" xr:uid="{0804BCA5-3386-443F-B3FA-FC9D1F4B9592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60D1-6FA0-4EDA-B0E6-5D01107B74DD}">
  <dimension ref="B2:L18"/>
  <sheetViews>
    <sheetView tabSelected="1" workbookViewId="0">
      <selection activeCell="L14" sqref="L14"/>
    </sheetView>
  </sheetViews>
  <sheetFormatPr defaultRowHeight="17" x14ac:dyDescent="0.45"/>
  <cols>
    <col min="1" max="1" width="4.08203125" customWidth="1"/>
    <col min="2" max="2" width="33.08203125" bestFit="1" customWidth="1"/>
    <col min="3" max="4" width="9.33203125" bestFit="1" customWidth="1"/>
    <col min="5" max="5" width="13.25" bestFit="1" customWidth="1"/>
    <col min="6" max="6" width="16.58203125" bestFit="1" customWidth="1"/>
    <col min="7" max="7" width="12.6640625" bestFit="1" customWidth="1"/>
    <col min="9" max="9" width="20.9140625" bestFit="1" customWidth="1"/>
    <col min="10" max="10" width="13.9140625" bestFit="1" customWidth="1"/>
    <col min="11" max="11" width="16.58203125" bestFit="1" customWidth="1"/>
    <col min="12" max="12" width="12.6640625" bestFit="1" customWidth="1"/>
  </cols>
  <sheetData>
    <row r="2" spans="2:12" ht="25.5" x14ac:dyDescent="0.7">
      <c r="B2" s="11" t="s">
        <v>139</v>
      </c>
      <c r="C2" s="9"/>
      <c r="D2" s="9"/>
      <c r="E2" s="9"/>
      <c r="F2" s="9"/>
      <c r="G2" s="9"/>
      <c r="H2" s="9"/>
      <c r="I2" s="9"/>
      <c r="J2" s="9"/>
      <c r="K2" s="6"/>
      <c r="L2" s="6"/>
    </row>
    <row r="4" spans="2:12" x14ac:dyDescent="0.45">
      <c r="B4" s="8" t="s">
        <v>140</v>
      </c>
      <c r="C4" s="9"/>
      <c r="D4" s="8" t="s">
        <v>141</v>
      </c>
      <c r="E4" s="13"/>
      <c r="F4" s="9"/>
      <c r="G4" s="8" t="s">
        <v>142</v>
      </c>
      <c r="H4" s="9"/>
      <c r="I4" s="8" t="s">
        <v>143</v>
      </c>
      <c r="J4" s="9"/>
      <c r="K4" s="6"/>
      <c r="L4" s="6"/>
    </row>
    <row r="5" spans="2:12" ht="21" x14ac:dyDescent="0.45">
      <c r="B5" s="10">
        <f>SUM(RAW_DATA!$I$2:$I$48)</f>
        <v>13804000</v>
      </c>
      <c r="C5" s="9"/>
      <c r="D5" s="10">
        <f>SUM(RAW_DATA!$J$2:$J$48)</f>
        <v>900000</v>
      </c>
      <c r="E5" s="14"/>
      <c r="F5" s="9"/>
      <c r="G5" s="12">
        <f>COUNTIFS(RAW_DATA!$D$2:$D$48, "Y", RAW_DATA!$G$2:$G$48, "진료완료")</f>
        <v>15</v>
      </c>
      <c r="H5" s="9"/>
      <c r="I5" s="12">
        <f>COUNTIF(RAW_DATA!$G$2:$G$48,"진료완료")</f>
        <v>34</v>
      </c>
      <c r="J5" s="9"/>
      <c r="K5" s="6"/>
      <c r="L5" s="6"/>
    </row>
    <row r="8" spans="2:12" ht="17.5" x14ac:dyDescent="0.45">
      <c r="B8" s="7" t="s">
        <v>144</v>
      </c>
      <c r="C8" s="6"/>
      <c r="D8" s="6"/>
      <c r="E8" s="6"/>
      <c r="F8" s="6"/>
      <c r="G8" s="6"/>
      <c r="H8" s="6"/>
      <c r="I8" s="7" t="s">
        <v>145</v>
      </c>
      <c r="J8" s="6"/>
      <c r="K8" s="6"/>
      <c r="L8" s="6"/>
    </row>
    <row r="9" spans="2:12" ht="17.5" thickBot="1" x14ac:dyDescent="0.5"/>
    <row r="10" spans="2:12" ht="17.5" thickBot="1" x14ac:dyDescent="0.5">
      <c r="B10" s="15" t="s">
        <v>146</v>
      </c>
      <c r="C10" s="16" t="s">
        <v>147</v>
      </c>
      <c r="D10" s="16" t="s">
        <v>148</v>
      </c>
      <c r="E10" s="16" t="s">
        <v>160</v>
      </c>
      <c r="F10" s="16" t="s">
        <v>149</v>
      </c>
      <c r="G10" s="17" t="s">
        <v>150</v>
      </c>
      <c r="H10" s="6"/>
      <c r="I10" s="15" t="s">
        <v>151</v>
      </c>
      <c r="J10" s="16" t="s">
        <v>152</v>
      </c>
      <c r="K10" s="16" t="s">
        <v>153</v>
      </c>
      <c r="L10" s="17" t="s">
        <v>154</v>
      </c>
    </row>
    <row r="11" spans="2:12" x14ac:dyDescent="0.45">
      <c r="B11" s="18" t="s">
        <v>14</v>
      </c>
      <c r="C11" s="19">
        <f>COUNTIFS(RAW_DATA!$E$2:$E$48,B11,RAW_DATA!$G$2:$G$48,"진료완료")</f>
        <v>3</v>
      </c>
      <c r="D11" s="19">
        <f>COUNTIFS(RAW_DATA!$E$2:$E$48,B11,RAW_DATA!$G$2:$G$48,"노쇼")</f>
        <v>2</v>
      </c>
      <c r="E11" s="19">
        <f>COUNTIFS(RAW_DATA!$E$2:$E$48,B11,RAW_DATA!$G$2:$G$48,"예약취소")</f>
        <v>2</v>
      </c>
      <c r="F11" s="20">
        <f>SUMIF(RAW_DATA!$E$2:$E$48, B11, RAW_DATA!$I$2:$I$48)</f>
        <v>1260000</v>
      </c>
      <c r="G11" s="21">
        <f>SUMIF(RAW_DATA!$E$2:$E$48, $B11, RAW_DATA!$J$2:$J$48)</f>
        <v>50000</v>
      </c>
      <c r="H11" s="6"/>
      <c r="I11" s="18" t="s">
        <v>155</v>
      </c>
      <c r="J11" s="19">
        <f>COUNTIFS(RAW_DATA!$A$2:$A$48,일일매출지표!$I11,RAW_DATA!$G$2:$G$48,"진료완료")</f>
        <v>11</v>
      </c>
      <c r="K11" s="19">
        <f>SUMIF(RAW_DATA!$A$2:$A$48,일일매출지표!$I11,RAW_DATA!$I$2:$I$48)</f>
        <v>2934000</v>
      </c>
      <c r="L11" s="34">
        <f>SUMIF(RAW_DATA!$A$2:$A$48,일일매출지표!$I11,RAW_DATA!$J$2:$J$48)</f>
        <v>300000</v>
      </c>
    </row>
    <row r="12" spans="2:12" x14ac:dyDescent="0.45">
      <c r="B12" s="22" t="s">
        <v>22</v>
      </c>
      <c r="C12" s="23">
        <f>COUNTIFS(RAW_DATA!$E$2:$E$48,B12,RAW_DATA!$G$2:$G$48,"진료완료")</f>
        <v>5</v>
      </c>
      <c r="D12" s="23">
        <f>COUNTIFS(RAW_DATA!$E$2:$E$48,B12,RAW_DATA!$G$2:$G$48,"노쇼")</f>
        <v>1</v>
      </c>
      <c r="E12" s="23">
        <f>COUNTIFS(RAW_DATA!$E$2:$E$48,B12,RAW_DATA!$G$2:$G$48,"예약취소")</f>
        <v>1</v>
      </c>
      <c r="F12" s="24">
        <f>SUMIF(RAW_DATA!$E$2:$E$48, B12, RAW_DATA!$I$2:$I$48)</f>
        <v>4245000</v>
      </c>
      <c r="G12" s="25">
        <f>SUMIF(RAW_DATA!$E$2:$E$48, $B12, RAW_DATA!$J$2:$J$48)</f>
        <v>800000</v>
      </c>
      <c r="H12" s="6"/>
      <c r="I12" s="22" t="s">
        <v>156</v>
      </c>
      <c r="J12" s="23">
        <f>COUNTIFS(RAW_DATA!$A$2:$A$48,일일매출지표!$I12,RAW_DATA!$G$2:$G$48,"진료완료")</f>
        <v>9</v>
      </c>
      <c r="K12" s="23">
        <f>SUMIF(RAW_DATA!$A$2:$A$48,일일매출지표!$I12,RAW_DATA!$I$2:$I$48)</f>
        <v>3255000</v>
      </c>
      <c r="L12" s="35">
        <f>SUMIF(RAW_DATA!$A$2:$A$48,일일매출지표!$I12,RAW_DATA!$J$2:$J$48)</f>
        <v>50000</v>
      </c>
    </row>
    <row r="13" spans="2:12" x14ac:dyDescent="0.45">
      <c r="B13" s="22" t="s">
        <v>28</v>
      </c>
      <c r="C13" s="23">
        <f>COUNTIFS(RAW_DATA!$E$2:$E$48,B13,RAW_DATA!$G$2:$G$48,"진료완료")</f>
        <v>9</v>
      </c>
      <c r="D13" s="23">
        <f>COUNTIFS(RAW_DATA!$E$2:$E$48,B13,RAW_DATA!$G$2:$G$48,"노쇼")</f>
        <v>0</v>
      </c>
      <c r="E13" s="23">
        <f>COUNTIFS(RAW_DATA!$E$2:$E$48,B13,RAW_DATA!$G$2:$G$48,"예약취소")</f>
        <v>0</v>
      </c>
      <c r="F13" s="24">
        <f>SUMIF(RAW_DATA!$E$2:$E$48, B13, RAW_DATA!$I$2:$I$48)</f>
        <v>2645000</v>
      </c>
      <c r="G13" s="25">
        <f>SUMIF(RAW_DATA!$E$2:$E$48, $B13, RAW_DATA!$J$2:$J$48)</f>
        <v>50000</v>
      </c>
      <c r="H13" s="6"/>
      <c r="I13" s="22" t="s">
        <v>157</v>
      </c>
      <c r="J13" s="23">
        <f>COUNTIFS(RAW_DATA!$A$2:$A$48,일일매출지표!$I13,RAW_DATA!$G$2:$G$48,"진료완료")</f>
        <v>12</v>
      </c>
      <c r="K13" s="23">
        <f>SUMIF(RAW_DATA!$A$2:$A$48,일일매출지표!$I13,RAW_DATA!$I$2:$I$48)</f>
        <v>7520000</v>
      </c>
      <c r="L13" s="35">
        <f>SUMIF(RAW_DATA!$A$2:$A$48,일일매출지표!$I13,RAW_DATA!$J$2:$J$48)</f>
        <v>550000</v>
      </c>
    </row>
    <row r="14" spans="2:12" x14ac:dyDescent="0.45">
      <c r="B14" s="22" t="s">
        <v>78</v>
      </c>
      <c r="C14" s="23">
        <f>COUNTIFS(RAW_DATA!$E$2:$E$48,B14,RAW_DATA!$G$2:$G$48,"진료완료")</f>
        <v>3</v>
      </c>
      <c r="D14" s="23">
        <f>COUNTIFS(RAW_DATA!$E$2:$E$48,B14,RAW_DATA!$G$2:$G$48,"노쇼")</f>
        <v>1</v>
      </c>
      <c r="E14" s="23">
        <f>COUNTIFS(RAW_DATA!$E$2:$E$48,B14,RAW_DATA!$G$2:$G$48,"예약취소")</f>
        <v>1</v>
      </c>
      <c r="F14" s="24">
        <f>SUMIF(RAW_DATA!$E$2:$E$48, B14, RAW_DATA!$I$2:$I$48)</f>
        <v>850000</v>
      </c>
      <c r="G14" s="25">
        <f>SUMIF(RAW_DATA!$E$2:$E$48, $B14, RAW_DATA!$J$2:$J$48)</f>
        <v>0</v>
      </c>
      <c r="H14" s="6"/>
      <c r="I14" s="22" t="s">
        <v>158</v>
      </c>
      <c r="J14" s="23">
        <f>COUNTIFS(RAW_DATA!$A$2:$A$48,일일매출지표!$I14,RAW_DATA!$G$2:$G$48,"진료완료")</f>
        <v>2</v>
      </c>
      <c r="K14" s="23">
        <f>SUMIF(RAW_DATA!$A$2:$A$48,일일매출지표!$I14,RAW_DATA!$I$2:$I$48)</f>
        <v>95000</v>
      </c>
      <c r="L14" s="35">
        <f>SUMIF(RAW_DATA!$A$2:$A$48,일일매출지표!$I14,RAW_DATA!$J$2:$J$48)</f>
        <v>0</v>
      </c>
    </row>
    <row r="15" spans="2:12" ht="17.5" thickBot="1" x14ac:dyDescent="0.5">
      <c r="B15" s="22" t="s">
        <v>19</v>
      </c>
      <c r="C15" s="23">
        <f>COUNTIFS(RAW_DATA!$E$2:$E$48,B15,RAW_DATA!$G$2:$G$48,"진료완료")</f>
        <v>7</v>
      </c>
      <c r="D15" s="23">
        <f>COUNTIFS(RAW_DATA!$E$2:$E$48,B15,RAW_DATA!$G$2:$G$48,"노쇼")</f>
        <v>2</v>
      </c>
      <c r="E15" s="23">
        <f>COUNTIFS(RAW_DATA!$E$2:$E$48,B15,RAW_DATA!$G$2:$G$48,"예약취소")</f>
        <v>0</v>
      </c>
      <c r="F15" s="24">
        <f>SUMIF(RAW_DATA!$E$2:$E$48, B15, RAW_DATA!$I$2:$I$48)</f>
        <v>2105000</v>
      </c>
      <c r="G15" s="25">
        <f>SUMIF(RAW_DATA!$E$2:$E$48, $B15, RAW_DATA!$J$2:$J$48)</f>
        <v>0</v>
      </c>
      <c r="H15" s="6"/>
      <c r="I15" s="30" t="s">
        <v>159</v>
      </c>
      <c r="J15" s="36">
        <f>SUM($J$11:$J$14)</f>
        <v>34</v>
      </c>
      <c r="K15" s="37">
        <f>SUM($K$11:$K$14)</f>
        <v>13804000</v>
      </c>
      <c r="L15" s="38">
        <f>SUM($L$11:$L$14)</f>
        <v>900000</v>
      </c>
    </row>
    <row r="16" spans="2:12" x14ac:dyDescent="0.45">
      <c r="B16" s="22" t="s">
        <v>25</v>
      </c>
      <c r="C16" s="23">
        <f>COUNTIFS(RAW_DATA!$E$2:$E$48,B16,RAW_DATA!$G$2:$G$48,"진료완료")</f>
        <v>7</v>
      </c>
      <c r="D16" s="23">
        <f>COUNTIFS(RAW_DATA!$E$2:$E$48,B16,RAW_DATA!$G$2:$G$48,"노쇼")</f>
        <v>1</v>
      </c>
      <c r="E16" s="23">
        <f>COUNTIFS(RAW_DATA!$E$2:$E$48,B16,RAW_DATA!$G$2:$G$48,"예약취소")</f>
        <v>2</v>
      </c>
      <c r="F16" s="24">
        <f>SUMIF(RAW_DATA!$E$2:$E$48, B16, RAW_DATA!$I$2:$I$48)</f>
        <v>2699000</v>
      </c>
      <c r="G16" s="25">
        <f>SUMIF(RAW_DATA!$E$2:$E$48, $B16, RAW_DATA!$J$2:$J$48)</f>
        <v>0</v>
      </c>
      <c r="H16" s="6"/>
      <c r="I16" s="6"/>
      <c r="J16" s="6"/>
      <c r="K16" s="6"/>
      <c r="L16" s="6"/>
    </row>
    <row r="17" spans="2:7" x14ac:dyDescent="0.45">
      <c r="B17" s="26" t="s">
        <v>159</v>
      </c>
      <c r="C17" s="27">
        <f>SUM($C$11:$C$16)</f>
        <v>34</v>
      </c>
      <c r="D17" s="27">
        <f>SUM($D$11:$D$16)</f>
        <v>7</v>
      </c>
      <c r="E17" s="27">
        <f>SUM($E$11:$E$16)</f>
        <v>6</v>
      </c>
      <c r="F17" s="28">
        <f>SUM($F$11:$F$16)</f>
        <v>13804000</v>
      </c>
      <c r="G17" s="29">
        <f>SUM($G$11:$G$16)</f>
        <v>900000</v>
      </c>
    </row>
    <row r="18" spans="2:7" ht="17.5" thickBot="1" x14ac:dyDescent="0.5">
      <c r="B18" s="30" t="s">
        <v>161</v>
      </c>
      <c r="C18" s="31">
        <f>SUM($C$17:$E$17)</f>
        <v>47</v>
      </c>
      <c r="D18" s="31"/>
      <c r="E18" s="31"/>
      <c r="F18" s="32">
        <f>SUM($F$17:$G$17)</f>
        <v>14704000</v>
      </c>
      <c r="G18" s="33"/>
    </row>
  </sheetData>
  <mergeCells count="11">
    <mergeCell ref="C18:E18"/>
    <mergeCell ref="F18:G18"/>
    <mergeCell ref="G4:H4"/>
    <mergeCell ref="B5:C5"/>
    <mergeCell ref="B2:J2"/>
    <mergeCell ref="G5:H5"/>
    <mergeCell ref="D5:F5"/>
    <mergeCell ref="I5:J5"/>
    <mergeCell ref="D4:F4"/>
    <mergeCell ref="I4:J4"/>
    <mergeCell ref="B4:C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crm_transaction_log</vt:lpstr>
      <vt:lpstr>customer_master</vt:lpstr>
      <vt:lpstr>RAW_DATA</vt:lpstr>
      <vt:lpstr>일일매출지표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재정 박</dc:creator>
  <cp:lastModifiedBy>재정 박</cp:lastModifiedBy>
  <dcterms:created xsi:type="dcterms:W3CDTF">2026-10-15T05:47:48Z</dcterms:created>
  <dcterms:modified xsi:type="dcterms:W3CDTF">2026-10-15T07:38:20Z</dcterms:modified>
</cp:coreProperties>
</file>